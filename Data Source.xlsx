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ab\Downloads\Project Cashflow\"/>
    </mc:Choice>
  </mc:AlternateContent>
  <xr:revisionPtr revIDLastSave="0" documentId="13_ncr:1_{3A5A30C9-FBB4-443E-B171-79B71ABB894B}" xr6:coauthVersionLast="47" xr6:coauthVersionMax="47" xr10:uidLastSave="{00000000-0000-0000-0000-000000000000}"/>
  <bookViews>
    <workbookView xWindow="-108" yWindow="-108" windowWidth="23256" windowHeight="12456" activeTab="3" xr2:uid="{690BFA04-50D5-4901-9355-DB63BE7B3B95}"/>
  </bookViews>
  <sheets>
    <sheet name="Receivables" sheetId="3" r:id="rId1"/>
    <sheet name="Employee Salaries" sheetId="1" r:id="rId2"/>
    <sheet name="Mcom Salaries" sheetId="2" r:id="rId3"/>
    <sheet name=" Vendor Payment" sheetId="4" r:id="rId4"/>
    <sheet name="Statutory Dues" sheetId="5" r:id="rId5"/>
    <sheet name=" Fixed Expenses" sheetId="9" r:id="rId6"/>
    <sheet name="Reimbursments" sheetId="6" r:id="rId7"/>
  </sheets>
  <definedNames>
    <definedName name="_xlnm._FilterDatabase" localSheetId="5" hidden="1">' Fixed Expenses'!$A$1:$N$8</definedName>
    <definedName name="_xlnm._FilterDatabase" localSheetId="3" hidden="1">' Vendor Payment'!$A$2:$N$150</definedName>
    <definedName name="_xlnm._FilterDatabase" localSheetId="1" hidden="1">'Employee Salaries'!$A$1:$C$18</definedName>
    <definedName name="_xlnm._FilterDatabase" localSheetId="2" hidden="1">'Mcom Salaries'!$A$1:$C$7</definedName>
    <definedName name="_xlnm._FilterDatabase" localSheetId="0" hidden="1">Receivables!$A$1:$L$223</definedName>
    <definedName name="_xlnm._FilterDatabase" localSheetId="4" hidden="1">'Statutory Dues'!$A$1:$D$46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0" i="4" l="1"/>
  <c r="H150" i="4"/>
  <c r="G150" i="4"/>
  <c r="C150" i="4"/>
  <c r="B150" i="4"/>
  <c r="L149" i="4"/>
  <c r="H149" i="4"/>
  <c r="G149" i="4"/>
  <c r="B149" i="4"/>
  <c r="L148" i="4"/>
  <c r="H148" i="4"/>
  <c r="G148" i="4"/>
  <c r="C148" i="4"/>
  <c r="B148" i="4"/>
  <c r="L147" i="4"/>
  <c r="H147" i="4"/>
  <c r="G147" i="4"/>
  <c r="B147" i="4"/>
  <c r="L146" i="4"/>
  <c r="H146" i="4"/>
  <c r="G146" i="4"/>
  <c r="C146" i="4"/>
  <c r="B146" i="4"/>
  <c r="L145" i="4"/>
  <c r="H145" i="4"/>
  <c r="G145" i="4"/>
  <c r="B145" i="4"/>
  <c r="L144" i="4"/>
  <c r="H144" i="4"/>
  <c r="G144" i="4"/>
  <c r="C144" i="4"/>
  <c r="B144" i="4"/>
  <c r="K143" i="4"/>
  <c r="I143" i="4"/>
  <c r="J143" i="4" s="1"/>
  <c r="C143" i="4"/>
  <c r="K142" i="4"/>
  <c r="I142" i="4"/>
  <c r="J142" i="4" s="1"/>
  <c r="C142" i="4"/>
  <c r="K141" i="4"/>
  <c r="I141" i="4"/>
  <c r="J141" i="4" s="1"/>
  <c r="C141" i="4"/>
  <c r="L140" i="4"/>
  <c r="I140" i="4"/>
  <c r="J140" i="4" s="1"/>
  <c r="B140" i="4"/>
  <c r="K139" i="4"/>
  <c r="H139" i="4"/>
  <c r="G139" i="4"/>
  <c r="J139" i="4" s="1"/>
  <c r="C139" i="4"/>
  <c r="K138" i="4"/>
  <c r="H138" i="4"/>
  <c r="G138" i="4"/>
  <c r="C138" i="4"/>
  <c r="J137" i="4"/>
  <c r="C137" i="4"/>
  <c r="J136" i="4"/>
  <c r="C136" i="4"/>
  <c r="J135" i="4"/>
  <c r="L134" i="4"/>
  <c r="I134" i="4"/>
  <c r="J134" i="4" s="1"/>
  <c r="C134" i="4"/>
  <c r="L133" i="4"/>
  <c r="I133" i="4"/>
  <c r="J133" i="4" s="1"/>
  <c r="C133" i="4"/>
  <c r="L132" i="4"/>
  <c r="I132" i="4"/>
  <c r="J132" i="4" s="1"/>
  <c r="J131" i="4"/>
  <c r="C131" i="4"/>
  <c r="J130" i="4"/>
  <c r="C130" i="4"/>
  <c r="F129" i="4"/>
  <c r="L129" i="4" s="1"/>
  <c r="C129" i="4"/>
  <c r="F128" i="4"/>
  <c r="L128" i="4" s="1"/>
  <c r="C128" i="4"/>
  <c r="L127" i="4"/>
  <c r="I127" i="4"/>
  <c r="J127" i="4" s="1"/>
  <c r="C127" i="4"/>
  <c r="H126" i="4"/>
  <c r="G126" i="4"/>
  <c r="F126" i="4"/>
  <c r="C126" i="4"/>
  <c r="J125" i="4"/>
  <c r="C125" i="4"/>
  <c r="J124" i="4"/>
  <c r="C124" i="4"/>
  <c r="K123" i="4"/>
  <c r="H123" i="4"/>
  <c r="G123" i="4"/>
  <c r="J123" i="4" s="1"/>
  <c r="C123" i="4"/>
  <c r="K122" i="4"/>
  <c r="H122" i="4"/>
  <c r="G122" i="4"/>
  <c r="C122" i="4"/>
  <c r="J121" i="4"/>
  <c r="C121" i="4"/>
  <c r="K120" i="4"/>
  <c r="H120" i="4"/>
  <c r="G120" i="4"/>
  <c r="C120" i="4"/>
  <c r="K119" i="4"/>
  <c r="H119" i="4"/>
  <c r="G119" i="4"/>
  <c r="C119" i="4"/>
  <c r="K118" i="4"/>
  <c r="H118" i="4"/>
  <c r="G118" i="4"/>
  <c r="C118" i="4"/>
  <c r="K117" i="4"/>
  <c r="H117" i="4"/>
  <c r="G117" i="4"/>
  <c r="C117" i="4"/>
  <c r="K116" i="4"/>
  <c r="H116" i="4"/>
  <c r="G116" i="4"/>
  <c r="C116" i="4"/>
  <c r="J115" i="4"/>
  <c r="C115" i="4"/>
  <c r="L114" i="4"/>
  <c r="I114" i="4"/>
  <c r="J114" i="4" s="1"/>
  <c r="C114" i="4"/>
  <c r="L113" i="4"/>
  <c r="I113" i="4"/>
  <c r="J113" i="4" s="1"/>
  <c r="C113" i="4"/>
  <c r="L112" i="4"/>
  <c r="I112" i="4"/>
  <c r="J112" i="4" s="1"/>
  <c r="C112" i="4"/>
  <c r="H111" i="4"/>
  <c r="G111" i="4"/>
  <c r="C111" i="4"/>
  <c r="H110" i="4"/>
  <c r="G110" i="4"/>
  <c r="C110" i="4"/>
  <c r="H109" i="4"/>
  <c r="G109" i="4"/>
  <c r="C109" i="4"/>
  <c r="F108" i="4"/>
  <c r="K108" i="4" s="1"/>
  <c r="C108" i="4"/>
  <c r="F107" i="4"/>
  <c r="K107" i="4" s="1"/>
  <c r="C107" i="4"/>
  <c r="F106" i="4"/>
  <c r="H106" i="4" s="1"/>
  <c r="F105" i="4"/>
  <c r="J105" i="4" s="1"/>
  <c r="C105" i="4"/>
  <c r="F104" i="4"/>
  <c r="L104" i="4" s="1"/>
  <c r="C104" i="4"/>
  <c r="H103" i="4"/>
  <c r="G103" i="4"/>
  <c r="C103" i="4"/>
  <c r="H102" i="4"/>
  <c r="G102" i="4"/>
  <c r="C102" i="4"/>
  <c r="L101" i="4"/>
  <c r="H101" i="4"/>
  <c r="G101" i="4"/>
  <c r="C101" i="4"/>
  <c r="L100" i="4"/>
  <c r="H100" i="4"/>
  <c r="G100" i="4"/>
  <c r="C100" i="4"/>
  <c r="F99" i="4"/>
  <c r="I99" i="4" s="1"/>
  <c r="J99" i="4" s="1"/>
  <c r="C99" i="4"/>
  <c r="F98" i="4"/>
  <c r="L98" i="4" s="1"/>
  <c r="C98" i="4"/>
  <c r="L97" i="4"/>
  <c r="I97" i="4"/>
  <c r="J97" i="4" s="1"/>
  <c r="C97" i="4"/>
  <c r="L96" i="4"/>
  <c r="I96" i="4"/>
  <c r="J96" i="4" s="1"/>
  <c r="L95" i="4"/>
  <c r="I95" i="4"/>
  <c r="J95" i="4" s="1"/>
  <c r="K94" i="4"/>
  <c r="H94" i="4"/>
  <c r="G94" i="4"/>
  <c r="C94" i="4"/>
  <c r="K93" i="4"/>
  <c r="H93" i="4"/>
  <c r="G93" i="4"/>
  <c r="C93" i="4"/>
  <c r="K92" i="4"/>
  <c r="H92" i="4"/>
  <c r="G92" i="4"/>
  <c r="K91" i="4"/>
  <c r="H91" i="4"/>
  <c r="G91" i="4"/>
  <c r="C91" i="4"/>
  <c r="K90" i="4"/>
  <c r="I90" i="4"/>
  <c r="J90" i="4" s="1"/>
  <c r="C90" i="4"/>
  <c r="K89" i="4"/>
  <c r="I89" i="4"/>
  <c r="J89" i="4" s="1"/>
  <c r="C89" i="4"/>
  <c r="K88" i="4"/>
  <c r="H88" i="4"/>
  <c r="G88" i="4"/>
  <c r="C88" i="4"/>
  <c r="K87" i="4"/>
  <c r="H87" i="4"/>
  <c r="G87" i="4"/>
  <c r="C87" i="4"/>
  <c r="J86" i="4"/>
  <c r="J85" i="4"/>
  <c r="L84" i="4"/>
  <c r="H84" i="4"/>
  <c r="G84" i="4"/>
  <c r="C84" i="4"/>
  <c r="L83" i="4"/>
  <c r="H83" i="4"/>
  <c r="G83" i="4"/>
  <c r="C83" i="4"/>
  <c r="L82" i="4"/>
  <c r="H82" i="4"/>
  <c r="G82" i="4"/>
  <c r="C82" i="4"/>
  <c r="L81" i="4"/>
  <c r="H81" i="4"/>
  <c r="G81" i="4"/>
  <c r="C81" i="4"/>
  <c r="H80" i="4"/>
  <c r="G80" i="4"/>
  <c r="H79" i="4"/>
  <c r="G79" i="4"/>
  <c r="H78" i="4"/>
  <c r="G78" i="4"/>
  <c r="K77" i="4"/>
  <c r="H77" i="4"/>
  <c r="G77" i="4"/>
  <c r="C77" i="4"/>
  <c r="K76" i="4"/>
  <c r="H76" i="4"/>
  <c r="G76" i="4"/>
  <c r="K75" i="4"/>
  <c r="H75" i="4"/>
  <c r="G75" i="4"/>
  <c r="C75" i="4"/>
  <c r="K74" i="4"/>
  <c r="H74" i="4"/>
  <c r="G74" i="4"/>
  <c r="C74" i="4"/>
  <c r="I73" i="4"/>
  <c r="J73" i="4" s="1"/>
  <c r="L72" i="4"/>
  <c r="I72" i="4"/>
  <c r="J72" i="4" s="1"/>
  <c r="C72" i="4"/>
  <c r="L71" i="4"/>
  <c r="I71" i="4"/>
  <c r="J71" i="4" s="1"/>
  <c r="C71" i="4"/>
  <c r="J70" i="4"/>
  <c r="J69" i="4"/>
  <c r="C69" i="4"/>
  <c r="H68" i="4"/>
  <c r="G68" i="4"/>
  <c r="F68" i="4"/>
  <c r="C68" i="4"/>
  <c r="J67" i="4"/>
  <c r="F66" i="4"/>
  <c r="K65" i="4"/>
  <c r="H65" i="4"/>
  <c r="G65" i="4"/>
  <c r="K64" i="4"/>
  <c r="J64" i="4"/>
  <c r="K63" i="4"/>
  <c r="I63" i="4"/>
  <c r="J63" i="4" s="1"/>
  <c r="K62" i="4"/>
  <c r="I62" i="4"/>
  <c r="J62" i="4" s="1"/>
  <c r="L61" i="4"/>
  <c r="H61" i="4"/>
  <c r="G61" i="4"/>
  <c r="C61" i="4"/>
  <c r="K60" i="4"/>
  <c r="H60" i="4"/>
  <c r="G60" i="4"/>
  <c r="C60" i="4"/>
  <c r="K59" i="4"/>
  <c r="H59" i="4"/>
  <c r="G59" i="4"/>
  <c r="C59" i="4"/>
  <c r="K58" i="4"/>
  <c r="H58" i="4"/>
  <c r="G58" i="4"/>
  <c r="C58" i="4"/>
  <c r="K57" i="4"/>
  <c r="H57" i="4"/>
  <c r="G57" i="4"/>
  <c r="K56" i="4"/>
  <c r="H56" i="4"/>
  <c r="G56" i="4"/>
  <c r="K55" i="4"/>
  <c r="H55" i="4"/>
  <c r="G55" i="4"/>
  <c r="K54" i="4"/>
  <c r="H54" i="4"/>
  <c r="G54" i="4"/>
  <c r="K53" i="4"/>
  <c r="H53" i="4"/>
  <c r="G53" i="4"/>
  <c r="C53" i="4"/>
  <c r="K52" i="4"/>
  <c r="H52" i="4"/>
  <c r="G52" i="4"/>
  <c r="C52" i="4"/>
  <c r="K51" i="4"/>
  <c r="H51" i="4"/>
  <c r="G51" i="4"/>
  <c r="K50" i="4"/>
  <c r="H50" i="4"/>
  <c r="G50" i="4"/>
  <c r="L49" i="4"/>
  <c r="H49" i="4"/>
  <c r="G49" i="4"/>
  <c r="L48" i="4"/>
  <c r="H48" i="4"/>
  <c r="G48" i="4"/>
  <c r="J47" i="4"/>
  <c r="J46" i="4"/>
  <c r="L45" i="4"/>
  <c r="H45" i="4"/>
  <c r="G45" i="4"/>
  <c r="J44" i="4"/>
  <c r="C44" i="4"/>
  <c r="J43" i="4"/>
  <c r="J42" i="4"/>
  <c r="J41" i="4"/>
  <c r="K40" i="4"/>
  <c r="G40" i="4"/>
  <c r="J39" i="4"/>
  <c r="J38" i="4"/>
  <c r="J37" i="4"/>
  <c r="J36" i="4"/>
  <c r="L35" i="4"/>
  <c r="H35" i="4"/>
  <c r="G35" i="4"/>
  <c r="K3" i="3"/>
  <c r="K4" i="3"/>
  <c r="K5" i="3"/>
  <c r="K6" i="3"/>
  <c r="K10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222" i="3"/>
  <c r="K79" i="3"/>
  <c r="K80" i="3"/>
  <c r="K81" i="3"/>
  <c r="K82" i="3"/>
  <c r="K83" i="3"/>
  <c r="K84" i="3"/>
  <c r="K85" i="3"/>
  <c r="K86" i="3"/>
  <c r="K87" i="3"/>
  <c r="K149" i="3"/>
  <c r="K151" i="3"/>
  <c r="K153" i="3"/>
  <c r="K91" i="3"/>
  <c r="K139" i="3"/>
  <c r="K93" i="3"/>
  <c r="K137" i="3"/>
  <c r="K95" i="3"/>
  <c r="K96" i="3"/>
  <c r="K97" i="3"/>
  <c r="K98" i="3"/>
  <c r="K99" i="3"/>
  <c r="K100" i="3"/>
  <c r="K101" i="3"/>
  <c r="K102" i="3"/>
  <c r="K103" i="3"/>
  <c r="K104" i="3"/>
  <c r="K105" i="3"/>
  <c r="K94" i="3"/>
  <c r="K92" i="3"/>
  <c r="K108" i="3"/>
  <c r="K109" i="3"/>
  <c r="K110" i="3"/>
  <c r="K111" i="3"/>
  <c r="K112" i="3"/>
  <c r="K113" i="3"/>
  <c r="K114" i="3"/>
  <c r="K115" i="3"/>
  <c r="K116" i="3"/>
  <c r="K88" i="3"/>
  <c r="K118" i="3"/>
  <c r="K107" i="3"/>
  <c r="K120" i="3"/>
  <c r="K162" i="3"/>
  <c r="K122" i="3"/>
  <c r="K129" i="3"/>
  <c r="K124" i="3"/>
  <c r="K164" i="3"/>
  <c r="K126" i="3"/>
  <c r="K78" i="3"/>
  <c r="K128" i="3"/>
  <c r="K7" i="3"/>
  <c r="K130" i="3"/>
  <c r="K131" i="3"/>
  <c r="K132" i="3"/>
  <c r="K89" i="3"/>
  <c r="K134" i="3"/>
  <c r="K119" i="3"/>
  <c r="K136" i="3"/>
  <c r="K184" i="3"/>
  <c r="K138" i="3"/>
  <c r="K154" i="3"/>
  <c r="K145" i="3"/>
  <c r="K141" i="3"/>
  <c r="K172" i="3"/>
  <c r="K143" i="3"/>
  <c r="K159" i="3"/>
  <c r="K157" i="3"/>
  <c r="K146" i="3"/>
  <c r="K176" i="3"/>
  <c r="K148" i="3"/>
  <c r="K166" i="3"/>
  <c r="K150" i="3"/>
  <c r="K135" i="3"/>
  <c r="K152" i="3"/>
  <c r="K142" i="3"/>
  <c r="K218" i="3"/>
  <c r="K155" i="3"/>
  <c r="K219" i="3"/>
  <c r="K161" i="3"/>
  <c r="K158" i="3"/>
  <c r="K205" i="3"/>
  <c r="K160" i="3"/>
  <c r="K200" i="3"/>
  <c r="K123" i="3"/>
  <c r="K163" i="3"/>
  <c r="K203" i="3"/>
  <c r="K165" i="3"/>
  <c r="K125" i="3"/>
  <c r="K185" i="3"/>
  <c r="K168" i="3"/>
  <c r="K212" i="3"/>
  <c r="K170" i="3"/>
  <c r="K191" i="3"/>
  <c r="K169" i="3"/>
  <c r="K173" i="3"/>
  <c r="K193" i="3"/>
  <c r="K175" i="3"/>
  <c r="K144" i="3"/>
  <c r="K177" i="3"/>
  <c r="K195" i="3"/>
  <c r="K179" i="3"/>
  <c r="K156" i="3"/>
  <c r="K181" i="3"/>
  <c r="K187" i="3"/>
  <c r="K183" i="3"/>
  <c r="K202" i="3"/>
  <c r="K117" i="3"/>
  <c r="K186" i="3"/>
  <c r="K140" i="3"/>
  <c r="K188" i="3"/>
  <c r="K133" i="3"/>
  <c r="K190" i="3"/>
  <c r="K197" i="3"/>
  <c r="K192" i="3"/>
  <c r="K215" i="3"/>
  <c r="K194" i="3"/>
  <c r="K182" i="3"/>
  <c r="K196" i="3"/>
  <c r="K178" i="3"/>
  <c r="K198" i="3"/>
  <c r="K199" i="3"/>
  <c r="K189" i="3"/>
  <c r="K201" i="3"/>
  <c r="K180" i="3"/>
  <c r="K127" i="3"/>
  <c r="K204" i="3"/>
  <c r="K147" i="3"/>
  <c r="K206" i="3"/>
  <c r="K207" i="3"/>
  <c r="K208" i="3"/>
  <c r="K209" i="3"/>
  <c r="K210" i="3"/>
  <c r="K211" i="3"/>
  <c r="K90" i="3"/>
  <c r="K213" i="3"/>
  <c r="K214" i="3"/>
  <c r="K174" i="3"/>
  <c r="K216" i="3"/>
  <c r="K217" i="3"/>
  <c r="K121" i="3"/>
  <c r="K171" i="3"/>
  <c r="K220" i="3"/>
  <c r="K221" i="3"/>
  <c r="K167" i="3"/>
  <c r="K223" i="3"/>
  <c r="K2" i="3"/>
  <c r="C6" i="5"/>
  <c r="C4" i="5"/>
  <c r="M34" i="4"/>
  <c r="H34" i="4"/>
  <c r="G34" i="4"/>
  <c r="C34" i="4"/>
  <c r="M33" i="4"/>
  <c r="H33" i="4"/>
  <c r="G33" i="4"/>
  <c r="J33" i="4" s="1"/>
  <c r="C33" i="4"/>
  <c r="M32" i="4"/>
  <c r="H32" i="4"/>
  <c r="G32" i="4"/>
  <c r="C32" i="4"/>
  <c r="M31" i="4"/>
  <c r="H31" i="4"/>
  <c r="G31" i="4"/>
  <c r="C31" i="4"/>
  <c r="M30" i="4"/>
  <c r="H30" i="4"/>
  <c r="G30" i="4"/>
  <c r="J30" i="4" s="1"/>
  <c r="C30" i="4"/>
  <c r="M29" i="4"/>
  <c r="H29" i="4"/>
  <c r="G29" i="4"/>
  <c r="C29" i="4"/>
  <c r="M28" i="4"/>
  <c r="H28" i="4"/>
  <c r="G28" i="4"/>
  <c r="C28" i="4"/>
  <c r="M27" i="4"/>
  <c r="H27" i="4"/>
  <c r="G27" i="4"/>
  <c r="J27" i="4" s="1"/>
  <c r="C27" i="4"/>
  <c r="M26" i="4"/>
  <c r="H26" i="4"/>
  <c r="G26" i="4"/>
  <c r="M25" i="4"/>
  <c r="H25" i="4"/>
  <c r="G25" i="4"/>
  <c r="C25" i="4"/>
  <c r="M24" i="4"/>
  <c r="H24" i="4"/>
  <c r="G24" i="4"/>
  <c r="C24" i="4"/>
  <c r="M23" i="4"/>
  <c r="H23" i="4"/>
  <c r="G23" i="4"/>
  <c r="C23" i="4"/>
  <c r="M22" i="4"/>
  <c r="H22" i="4"/>
  <c r="G22" i="4"/>
  <c r="M21" i="4"/>
  <c r="H21" i="4"/>
  <c r="G21" i="4"/>
  <c r="M20" i="4"/>
  <c r="H20" i="4"/>
  <c r="G20" i="4"/>
  <c r="C20" i="4"/>
  <c r="M19" i="4"/>
  <c r="H19" i="4"/>
  <c r="G19" i="4"/>
  <c r="C19" i="4"/>
  <c r="M18" i="4"/>
  <c r="H18" i="4"/>
  <c r="G18" i="4"/>
  <c r="C18" i="4"/>
  <c r="M17" i="4"/>
  <c r="H17" i="4"/>
  <c r="G17" i="4"/>
  <c r="C17" i="4"/>
  <c r="K16" i="4"/>
  <c r="H16" i="4"/>
  <c r="G16" i="4"/>
  <c r="K15" i="4"/>
  <c r="H15" i="4"/>
  <c r="G15" i="4"/>
  <c r="K14" i="4"/>
  <c r="H14" i="4"/>
  <c r="G14" i="4"/>
  <c r="I13" i="4"/>
  <c r="J13" i="4" s="1"/>
  <c r="N13" i="4" s="1"/>
  <c r="I12" i="4"/>
  <c r="J12" i="4" s="1"/>
  <c r="N12" i="4" s="1"/>
  <c r="I11" i="4"/>
  <c r="J11" i="4" s="1"/>
  <c r="N11" i="4" s="1"/>
  <c r="I10" i="4"/>
  <c r="J10" i="4" s="1"/>
  <c r="N10" i="4" s="1"/>
  <c r="M9" i="4"/>
  <c r="I9" i="4"/>
  <c r="J9" i="4" s="1"/>
  <c r="C9" i="4"/>
  <c r="M8" i="4"/>
  <c r="I8" i="4"/>
  <c r="J8" i="4" s="1"/>
  <c r="C8" i="4"/>
  <c r="M7" i="4"/>
  <c r="I7" i="4"/>
  <c r="J7" i="4" s="1"/>
  <c r="M6" i="4"/>
  <c r="I6" i="4"/>
  <c r="J6" i="4" s="1"/>
  <c r="M5" i="4"/>
  <c r="H5" i="4"/>
  <c r="G5" i="4"/>
  <c r="M4" i="4"/>
  <c r="H4" i="4"/>
  <c r="G4" i="4"/>
  <c r="C4" i="4"/>
  <c r="M3" i="4"/>
  <c r="I3" i="4"/>
  <c r="J3" i="4" s="1"/>
  <c r="C17" i="1"/>
  <c r="C16" i="1"/>
  <c r="C18" i="1" s="1"/>
  <c r="C15" i="1"/>
  <c r="C13" i="1"/>
  <c r="C12" i="1"/>
  <c r="C11" i="1"/>
  <c r="C3" i="1"/>
  <c r="C2" i="1"/>
  <c r="J223" i="3"/>
  <c r="E223" i="3"/>
  <c r="F223" i="3" s="1"/>
  <c r="J167" i="3"/>
  <c r="E167" i="3"/>
  <c r="F167" i="3" s="1"/>
  <c r="G167" i="3" s="1"/>
  <c r="H167" i="3" s="1"/>
  <c r="J221" i="3"/>
  <c r="E221" i="3"/>
  <c r="J220" i="3"/>
  <c r="E220" i="3"/>
  <c r="J171" i="3"/>
  <c r="E171" i="3"/>
  <c r="J121" i="3"/>
  <c r="E121" i="3"/>
  <c r="F121" i="3" s="1"/>
  <c r="J217" i="3"/>
  <c r="E217" i="3"/>
  <c r="J216" i="3"/>
  <c r="E216" i="3"/>
  <c r="F216" i="3" s="1"/>
  <c r="G216" i="3" s="1"/>
  <c r="H216" i="3" s="1"/>
  <c r="J174" i="3"/>
  <c r="E174" i="3"/>
  <c r="F174" i="3" s="1"/>
  <c r="G174" i="3" s="1"/>
  <c r="H174" i="3" s="1"/>
  <c r="J214" i="3"/>
  <c r="E214" i="3"/>
  <c r="J213" i="3"/>
  <c r="E213" i="3"/>
  <c r="F213" i="3" s="1"/>
  <c r="J90" i="3"/>
  <c r="D90" i="3"/>
  <c r="E90" i="3" s="1"/>
  <c r="F90" i="3" s="1"/>
  <c r="J211" i="3"/>
  <c r="D211" i="3"/>
  <c r="E211" i="3" s="1"/>
  <c r="J210" i="3"/>
  <c r="E210" i="3"/>
  <c r="J209" i="3"/>
  <c r="E209" i="3"/>
  <c r="J208" i="3"/>
  <c r="D208" i="3"/>
  <c r="E208" i="3" s="1"/>
  <c r="J207" i="3"/>
  <c r="D207" i="3"/>
  <c r="E207" i="3" s="1"/>
  <c r="F207" i="3" s="1"/>
  <c r="J206" i="3"/>
  <c r="E206" i="3"/>
  <c r="F206" i="3" s="1"/>
  <c r="G206" i="3" s="1"/>
  <c r="H206" i="3" s="1"/>
  <c r="J147" i="3"/>
  <c r="D147" i="3"/>
  <c r="E147" i="3" s="1"/>
  <c r="J204" i="3"/>
  <c r="D204" i="3"/>
  <c r="E204" i="3" s="1"/>
  <c r="J127" i="3"/>
  <c r="E127" i="3"/>
  <c r="F127" i="3" s="1"/>
  <c r="G127" i="3" s="1"/>
  <c r="H127" i="3" s="1"/>
  <c r="J180" i="3"/>
  <c r="E180" i="3"/>
  <c r="J201" i="3"/>
  <c r="E201" i="3"/>
  <c r="F201" i="3" s="1"/>
  <c r="J189" i="3"/>
  <c r="E189" i="3"/>
  <c r="J199" i="3"/>
  <c r="E199" i="3"/>
  <c r="J198" i="3"/>
  <c r="E198" i="3"/>
  <c r="F198" i="3" s="1"/>
  <c r="G198" i="3" s="1"/>
  <c r="H198" i="3" s="1"/>
  <c r="J178" i="3"/>
  <c r="E178" i="3"/>
  <c r="J196" i="3"/>
  <c r="E196" i="3"/>
  <c r="F196" i="3" s="1"/>
  <c r="G196" i="3" s="1"/>
  <c r="H196" i="3" s="1"/>
  <c r="J182" i="3"/>
  <c r="E182" i="3"/>
  <c r="F182" i="3" s="1"/>
  <c r="G182" i="3" s="1"/>
  <c r="H182" i="3" s="1"/>
  <c r="J194" i="3"/>
  <c r="E194" i="3"/>
  <c r="F194" i="3" s="1"/>
  <c r="G194" i="3" s="1"/>
  <c r="H194" i="3" s="1"/>
  <c r="J215" i="3"/>
  <c r="E215" i="3"/>
  <c r="J192" i="3"/>
  <c r="E192" i="3"/>
  <c r="F192" i="3" s="1"/>
  <c r="G192" i="3" s="1"/>
  <c r="H192" i="3" s="1"/>
  <c r="J197" i="3"/>
  <c r="E197" i="3"/>
  <c r="F197" i="3" s="1"/>
  <c r="G197" i="3" s="1"/>
  <c r="H197" i="3" s="1"/>
  <c r="J190" i="3"/>
  <c r="E190" i="3"/>
  <c r="F190" i="3" s="1"/>
  <c r="G190" i="3" s="1"/>
  <c r="H190" i="3" s="1"/>
  <c r="J133" i="3"/>
  <c r="E133" i="3"/>
  <c r="F133" i="3" s="1"/>
  <c r="G133" i="3" s="1"/>
  <c r="H133" i="3" s="1"/>
  <c r="J188" i="3"/>
  <c r="E188" i="3"/>
  <c r="J140" i="3"/>
  <c r="E140" i="3"/>
  <c r="F140" i="3" s="1"/>
  <c r="G140" i="3" s="1"/>
  <c r="H140" i="3" s="1"/>
  <c r="J186" i="3"/>
  <c r="E186" i="3"/>
  <c r="F186" i="3" s="1"/>
  <c r="G186" i="3" s="1"/>
  <c r="H186" i="3" s="1"/>
  <c r="J117" i="3"/>
  <c r="E117" i="3"/>
  <c r="J202" i="3"/>
  <c r="E202" i="3"/>
  <c r="J183" i="3"/>
  <c r="E183" i="3"/>
  <c r="F183" i="3" s="1"/>
  <c r="J187" i="3"/>
  <c r="E187" i="3"/>
  <c r="J181" i="3"/>
  <c r="E181" i="3"/>
  <c r="F181" i="3" s="1"/>
  <c r="J156" i="3"/>
  <c r="E156" i="3"/>
  <c r="J179" i="3"/>
  <c r="E179" i="3"/>
  <c r="F179" i="3" s="1"/>
  <c r="G179" i="3" s="1"/>
  <c r="H179" i="3" s="1"/>
  <c r="J195" i="3"/>
  <c r="E195" i="3"/>
  <c r="F195" i="3" s="1"/>
  <c r="J177" i="3"/>
  <c r="E177" i="3"/>
  <c r="F177" i="3" s="1"/>
  <c r="J144" i="3"/>
  <c r="E144" i="3"/>
  <c r="J175" i="3"/>
  <c r="E175" i="3"/>
  <c r="J193" i="3"/>
  <c r="E193" i="3"/>
  <c r="F193" i="3" s="1"/>
  <c r="J173" i="3"/>
  <c r="E173" i="3"/>
  <c r="F173" i="3" s="1"/>
  <c r="J169" i="3"/>
  <c r="E169" i="3"/>
  <c r="J191" i="3"/>
  <c r="E191" i="3"/>
  <c r="F191" i="3" s="1"/>
  <c r="J170" i="3"/>
  <c r="E170" i="3"/>
  <c r="J212" i="3"/>
  <c r="E212" i="3"/>
  <c r="J168" i="3"/>
  <c r="E168" i="3"/>
  <c r="J185" i="3"/>
  <c r="E185" i="3"/>
  <c r="F185" i="3" s="1"/>
  <c r="J125" i="3"/>
  <c r="E125" i="3"/>
  <c r="J165" i="3"/>
  <c r="E165" i="3"/>
  <c r="J203" i="3"/>
  <c r="E203" i="3"/>
  <c r="F203" i="3" s="1"/>
  <c r="G203" i="3" s="1"/>
  <c r="H203" i="3" s="1"/>
  <c r="J163" i="3"/>
  <c r="E163" i="3"/>
  <c r="J123" i="3"/>
  <c r="E123" i="3"/>
  <c r="J200" i="3"/>
  <c r="E200" i="3"/>
  <c r="F200" i="3" s="1"/>
  <c r="G200" i="3" s="1"/>
  <c r="H200" i="3" s="1"/>
  <c r="J160" i="3"/>
  <c r="E160" i="3"/>
  <c r="F160" i="3" s="1"/>
  <c r="J205" i="3"/>
  <c r="E205" i="3"/>
  <c r="F205" i="3" s="1"/>
  <c r="J158" i="3"/>
  <c r="E158" i="3"/>
  <c r="J161" i="3"/>
  <c r="E161" i="3"/>
  <c r="F161" i="3" s="1"/>
  <c r="J219" i="3"/>
  <c r="E219" i="3"/>
  <c r="F219" i="3" s="1"/>
  <c r="G219" i="3" s="1"/>
  <c r="H219" i="3" s="1"/>
  <c r="J155" i="3"/>
  <c r="E155" i="3"/>
  <c r="F155" i="3" s="1"/>
  <c r="J218" i="3"/>
  <c r="E218" i="3"/>
  <c r="J142" i="3"/>
  <c r="E142" i="3"/>
  <c r="F142" i="3" s="1"/>
  <c r="G142" i="3" s="1"/>
  <c r="H142" i="3" s="1"/>
  <c r="J152" i="3"/>
  <c r="E152" i="3"/>
  <c r="F152" i="3" s="1"/>
  <c r="G152" i="3" s="1"/>
  <c r="H152" i="3" s="1"/>
  <c r="J135" i="3"/>
  <c r="E135" i="3"/>
  <c r="J150" i="3"/>
  <c r="E150" i="3"/>
  <c r="F150" i="3" s="1"/>
  <c r="G150" i="3" s="1"/>
  <c r="H150" i="3" s="1"/>
  <c r="J166" i="3"/>
  <c r="E166" i="3"/>
  <c r="F166" i="3" s="1"/>
  <c r="J148" i="3"/>
  <c r="E148" i="3"/>
  <c r="F148" i="3" s="1"/>
  <c r="G148" i="3" s="1"/>
  <c r="H148" i="3" s="1"/>
  <c r="J176" i="3"/>
  <c r="E176" i="3"/>
  <c r="J146" i="3"/>
  <c r="E146" i="3"/>
  <c r="F146" i="3" s="1"/>
  <c r="J157" i="3"/>
  <c r="E157" i="3"/>
  <c r="J159" i="3"/>
  <c r="E159" i="3"/>
  <c r="F159" i="3" s="1"/>
  <c r="G159" i="3" s="1"/>
  <c r="H159" i="3" s="1"/>
  <c r="J143" i="3"/>
  <c r="E143" i="3"/>
  <c r="F143" i="3" s="1"/>
  <c r="J172" i="3"/>
  <c r="E172" i="3"/>
  <c r="J141" i="3"/>
  <c r="E141" i="3"/>
  <c r="J145" i="3"/>
  <c r="E145" i="3"/>
  <c r="F145" i="3" s="1"/>
  <c r="G145" i="3" s="1"/>
  <c r="H145" i="3" s="1"/>
  <c r="J154" i="3"/>
  <c r="E154" i="3"/>
  <c r="F154" i="3" s="1"/>
  <c r="G154" i="3" s="1"/>
  <c r="H154" i="3" s="1"/>
  <c r="J138" i="3"/>
  <c r="E138" i="3"/>
  <c r="J184" i="3"/>
  <c r="E184" i="3"/>
  <c r="J136" i="3"/>
  <c r="E136" i="3"/>
  <c r="J119" i="3"/>
  <c r="E119" i="3"/>
  <c r="F119" i="3" s="1"/>
  <c r="G119" i="3" s="1"/>
  <c r="H119" i="3" s="1"/>
  <c r="J134" i="3"/>
  <c r="E134" i="3"/>
  <c r="J89" i="3"/>
  <c r="D89" i="3"/>
  <c r="E89" i="3" s="1"/>
  <c r="F89" i="3" s="1"/>
  <c r="G89" i="3" s="1"/>
  <c r="H89" i="3" s="1"/>
  <c r="J132" i="3"/>
  <c r="D132" i="3"/>
  <c r="E132" i="3" s="1"/>
  <c r="F132" i="3" s="1"/>
  <c r="G132" i="3" s="1"/>
  <c r="H132" i="3" s="1"/>
  <c r="J131" i="3"/>
  <c r="D131" i="3"/>
  <c r="E131" i="3" s="1"/>
  <c r="J130" i="3"/>
  <c r="D130" i="3"/>
  <c r="E130" i="3" s="1"/>
  <c r="F130" i="3" s="1"/>
  <c r="J7" i="3"/>
  <c r="D7" i="3"/>
  <c r="E7" i="3" s="1"/>
  <c r="G7" i="3" s="1"/>
  <c r="H7" i="3" s="1"/>
  <c r="J128" i="3"/>
  <c r="E128" i="3"/>
  <c r="J78" i="3"/>
  <c r="D78" i="3"/>
  <c r="E78" i="3" s="1"/>
  <c r="F78" i="3" s="1"/>
  <c r="J126" i="3"/>
  <c r="E126" i="3"/>
  <c r="F126" i="3" s="1"/>
  <c r="E129" i="3"/>
  <c r="F129" i="3" s="1"/>
  <c r="G129" i="3" s="1"/>
  <c r="H129" i="3" s="1"/>
  <c r="E122" i="3"/>
  <c r="J162" i="3"/>
  <c r="E162" i="3"/>
  <c r="J120" i="3"/>
  <c r="E120" i="3"/>
  <c r="F120" i="3" s="1"/>
  <c r="G120" i="3" s="1"/>
  <c r="H120" i="3" s="1"/>
  <c r="J107" i="3"/>
  <c r="E107" i="3"/>
  <c r="F107" i="3" s="1"/>
  <c r="J118" i="3"/>
  <c r="E118" i="3"/>
  <c r="F118" i="3" s="1"/>
  <c r="J88" i="3"/>
  <c r="E88" i="3"/>
  <c r="J116" i="3"/>
  <c r="E116" i="3"/>
  <c r="J115" i="3"/>
  <c r="E115" i="3"/>
  <c r="F115" i="3" s="1"/>
  <c r="J114" i="3"/>
  <c r="E114" i="3"/>
  <c r="F114" i="3" s="1"/>
  <c r="G114" i="3" s="1"/>
  <c r="H114" i="3" s="1"/>
  <c r="J113" i="3"/>
  <c r="E113" i="3"/>
  <c r="J112" i="3"/>
  <c r="E112" i="3"/>
  <c r="F112" i="3" s="1"/>
  <c r="J111" i="3"/>
  <c r="E111" i="3"/>
  <c r="F111" i="3" s="1"/>
  <c r="J110" i="3"/>
  <c r="E110" i="3"/>
  <c r="J109" i="3"/>
  <c r="E109" i="3"/>
  <c r="F109" i="3" s="1"/>
  <c r="J108" i="3"/>
  <c r="E108" i="3"/>
  <c r="F108" i="3" s="1"/>
  <c r="J92" i="3"/>
  <c r="E92" i="3"/>
  <c r="J94" i="3"/>
  <c r="E94" i="3"/>
  <c r="J105" i="3"/>
  <c r="E105" i="3"/>
  <c r="F105" i="3" s="1"/>
  <c r="G105" i="3" s="1"/>
  <c r="H105" i="3" s="1"/>
  <c r="J104" i="3"/>
  <c r="E104" i="3"/>
  <c r="F104" i="3" s="1"/>
  <c r="J103" i="3"/>
  <c r="E103" i="3"/>
  <c r="J102" i="3"/>
  <c r="E102" i="3"/>
  <c r="F102" i="3" s="1"/>
  <c r="J101" i="3"/>
  <c r="E101" i="3"/>
  <c r="F101" i="3" s="1"/>
  <c r="J100" i="3"/>
  <c r="E100" i="3"/>
  <c r="J99" i="3"/>
  <c r="E99" i="3"/>
  <c r="F99" i="3" s="1"/>
  <c r="J98" i="3"/>
  <c r="E98" i="3"/>
  <c r="F98" i="3" s="1"/>
  <c r="G98" i="3" s="1"/>
  <c r="H98" i="3" s="1"/>
  <c r="J97" i="3"/>
  <c r="E97" i="3"/>
  <c r="F97" i="3" s="1"/>
  <c r="J96" i="3"/>
  <c r="E96" i="3"/>
  <c r="J95" i="3"/>
  <c r="E95" i="3"/>
  <c r="F95" i="3" s="1"/>
  <c r="J137" i="3"/>
  <c r="E137" i="3"/>
  <c r="F137" i="3" s="1"/>
  <c r="J93" i="3"/>
  <c r="E93" i="3"/>
  <c r="J139" i="3"/>
  <c r="E139" i="3"/>
  <c r="F139" i="3" s="1"/>
  <c r="G139" i="3" s="1"/>
  <c r="H139" i="3" s="1"/>
  <c r="J91" i="3"/>
  <c r="E91" i="3"/>
  <c r="F91" i="3" s="1"/>
  <c r="J153" i="3"/>
  <c r="E153" i="3"/>
  <c r="F153" i="3" s="1"/>
  <c r="J151" i="3"/>
  <c r="E151" i="3"/>
  <c r="J149" i="3"/>
  <c r="E149" i="3"/>
  <c r="F149" i="3" s="1"/>
  <c r="J87" i="3"/>
  <c r="E87" i="3"/>
  <c r="F87" i="3" s="1"/>
  <c r="G87" i="3" s="1"/>
  <c r="H87" i="3" s="1"/>
  <c r="J86" i="3"/>
  <c r="E86" i="3"/>
  <c r="J85" i="3"/>
  <c r="E85" i="3"/>
  <c r="F85" i="3" s="1"/>
  <c r="J84" i="3"/>
  <c r="D84" i="3"/>
  <c r="E84" i="3" s="1"/>
  <c r="F84" i="3" s="1"/>
  <c r="G84" i="3" s="1"/>
  <c r="H84" i="3" s="1"/>
  <c r="J83" i="3"/>
  <c r="E83" i="3"/>
  <c r="F83" i="3" s="1"/>
  <c r="J82" i="3"/>
  <c r="D82" i="3"/>
  <c r="E82" i="3" s="1"/>
  <c r="F82" i="3" s="1"/>
  <c r="J81" i="3"/>
  <c r="E81" i="3"/>
  <c r="J80" i="3"/>
  <c r="E80" i="3"/>
  <c r="F80" i="3" s="1"/>
  <c r="J79" i="3"/>
  <c r="D79" i="3"/>
  <c r="E79" i="3" s="1"/>
  <c r="J222" i="3"/>
  <c r="E222" i="3"/>
  <c r="F222" i="3" s="1"/>
  <c r="J77" i="3"/>
  <c r="E77" i="3"/>
  <c r="J76" i="3"/>
  <c r="E76" i="3"/>
  <c r="F76" i="3" s="1"/>
  <c r="J75" i="3"/>
  <c r="E75" i="3"/>
  <c r="F75" i="3" s="1"/>
  <c r="G75" i="3" s="1"/>
  <c r="H75" i="3" s="1"/>
  <c r="J74" i="3"/>
  <c r="E74" i="3"/>
  <c r="F74" i="3" s="1"/>
  <c r="G74" i="3" s="1"/>
  <c r="H74" i="3" s="1"/>
  <c r="J73" i="3"/>
  <c r="E73" i="3"/>
  <c r="F73" i="3" s="1"/>
  <c r="G73" i="3" s="1"/>
  <c r="H73" i="3" s="1"/>
  <c r="J72" i="3"/>
  <c r="E72" i="3"/>
  <c r="J71" i="3"/>
  <c r="E71" i="3"/>
  <c r="F71" i="3" s="1"/>
  <c r="J70" i="3"/>
  <c r="E70" i="3"/>
  <c r="F70" i="3" s="1"/>
  <c r="J69" i="3"/>
  <c r="E69" i="3"/>
  <c r="F69" i="3" s="1"/>
  <c r="J68" i="3"/>
  <c r="E68" i="3"/>
  <c r="J67" i="3"/>
  <c r="E67" i="3"/>
  <c r="F67" i="3" s="1"/>
  <c r="G67" i="3" s="1"/>
  <c r="H67" i="3" s="1"/>
  <c r="J66" i="3"/>
  <c r="E66" i="3"/>
  <c r="F66" i="3" s="1"/>
  <c r="J65" i="3"/>
  <c r="E65" i="3"/>
  <c r="F65" i="3" s="1"/>
  <c r="J64" i="3"/>
  <c r="E64" i="3"/>
  <c r="F64" i="3" s="1"/>
  <c r="G64" i="3" s="1"/>
  <c r="H64" i="3" s="1"/>
  <c r="J63" i="3"/>
  <c r="E63" i="3"/>
  <c r="F63" i="3" s="1"/>
  <c r="G63" i="3" s="1"/>
  <c r="H63" i="3" s="1"/>
  <c r="J62" i="3"/>
  <c r="E62" i="3"/>
  <c r="J61" i="3"/>
  <c r="E61" i="3"/>
  <c r="J60" i="3"/>
  <c r="E60" i="3"/>
  <c r="J59" i="3"/>
  <c r="E59" i="3"/>
  <c r="F59" i="3" s="1"/>
  <c r="J58" i="3"/>
  <c r="E58" i="3"/>
  <c r="F58" i="3" s="1"/>
  <c r="J57" i="3"/>
  <c r="E57" i="3"/>
  <c r="F57" i="3" s="1"/>
  <c r="J56" i="3"/>
  <c r="E56" i="3"/>
  <c r="F56" i="3" s="1"/>
  <c r="J55" i="3"/>
  <c r="E55" i="3"/>
  <c r="J54" i="3"/>
  <c r="E54" i="3"/>
  <c r="F54" i="3" s="1"/>
  <c r="J53" i="3"/>
  <c r="E53" i="3"/>
  <c r="J52" i="3"/>
  <c r="E52" i="3"/>
  <c r="F52" i="3" s="1"/>
  <c r="J51" i="3"/>
  <c r="E51" i="3"/>
  <c r="F51" i="3" s="1"/>
  <c r="G51" i="3" s="1"/>
  <c r="H51" i="3" s="1"/>
  <c r="J50" i="3"/>
  <c r="E50" i="3"/>
  <c r="F50" i="3" s="1"/>
  <c r="J49" i="3"/>
  <c r="E49" i="3"/>
  <c r="F49" i="3" s="1"/>
  <c r="J48" i="3"/>
  <c r="E48" i="3"/>
  <c r="J47" i="3"/>
  <c r="E47" i="3"/>
  <c r="F47" i="3" s="1"/>
  <c r="J46" i="3"/>
  <c r="E46" i="3"/>
  <c r="F46" i="3" s="1"/>
  <c r="J45" i="3"/>
  <c r="E45" i="3"/>
  <c r="F45" i="3" s="1"/>
  <c r="J44" i="3"/>
  <c r="E44" i="3"/>
  <c r="F44" i="3" s="1"/>
  <c r="G44" i="3" s="1"/>
  <c r="H44" i="3" s="1"/>
  <c r="J43" i="3"/>
  <c r="E43" i="3"/>
  <c r="J42" i="3"/>
  <c r="E42" i="3"/>
  <c r="F42" i="3" s="1"/>
  <c r="J41" i="3"/>
  <c r="E41" i="3"/>
  <c r="J40" i="3"/>
  <c r="E40" i="3"/>
  <c r="F40" i="3" s="1"/>
  <c r="G40" i="3" s="1"/>
  <c r="H40" i="3" s="1"/>
  <c r="J39" i="3"/>
  <c r="E39" i="3"/>
  <c r="F39" i="3" s="1"/>
  <c r="G39" i="3" s="1"/>
  <c r="H39" i="3" s="1"/>
  <c r="J38" i="3"/>
  <c r="E38" i="3"/>
  <c r="F38" i="3" s="1"/>
  <c r="G38" i="3" s="1"/>
  <c r="H38" i="3" s="1"/>
  <c r="J37" i="3"/>
  <c r="E37" i="3"/>
  <c r="J36" i="3"/>
  <c r="E36" i="3"/>
  <c r="F36" i="3" s="1"/>
  <c r="G36" i="3" s="1"/>
  <c r="H36" i="3" s="1"/>
  <c r="J35" i="3"/>
  <c r="E35" i="3"/>
  <c r="F35" i="3" s="1"/>
  <c r="J34" i="3"/>
  <c r="E34" i="3"/>
  <c r="F34" i="3" s="1"/>
  <c r="J33" i="3"/>
  <c r="E33" i="3"/>
  <c r="F33" i="3" s="1"/>
  <c r="J32" i="3"/>
  <c r="E32" i="3"/>
  <c r="F32" i="3" s="1"/>
  <c r="J31" i="3"/>
  <c r="E31" i="3"/>
  <c r="F31" i="3" s="1"/>
  <c r="G31" i="3" s="1"/>
  <c r="H31" i="3" s="1"/>
  <c r="J30" i="3"/>
  <c r="E30" i="3"/>
  <c r="F30" i="3" s="1"/>
  <c r="J29" i="3"/>
  <c r="E29" i="3"/>
  <c r="J28" i="3"/>
  <c r="E28" i="3"/>
  <c r="F28" i="3" s="1"/>
  <c r="G28" i="3" s="1"/>
  <c r="H28" i="3" s="1"/>
  <c r="J27" i="3"/>
  <c r="E27" i="3"/>
  <c r="F27" i="3" s="1"/>
  <c r="J26" i="3"/>
  <c r="E26" i="3"/>
  <c r="F26" i="3" s="1"/>
  <c r="J25" i="3"/>
  <c r="E25" i="3"/>
  <c r="J24" i="3"/>
  <c r="E24" i="3"/>
  <c r="F24" i="3" s="1"/>
  <c r="J23" i="3"/>
  <c r="E23" i="3"/>
  <c r="F23" i="3" s="1"/>
  <c r="J22" i="3"/>
  <c r="E22" i="3"/>
  <c r="J21" i="3"/>
  <c r="E21" i="3"/>
  <c r="F21" i="3" s="1"/>
  <c r="J20" i="3"/>
  <c r="E20" i="3"/>
  <c r="F20" i="3" s="1"/>
  <c r="G20" i="3" s="1"/>
  <c r="H20" i="3" s="1"/>
  <c r="J19" i="3"/>
  <c r="E19" i="3"/>
  <c r="F19" i="3" s="1"/>
  <c r="J18" i="3"/>
  <c r="G18" i="3"/>
  <c r="H18" i="3" s="1"/>
  <c r="J17" i="3"/>
  <c r="E17" i="3"/>
  <c r="F17" i="3" s="1"/>
  <c r="G17" i="3" s="1"/>
  <c r="H17" i="3" s="1"/>
  <c r="J16" i="3"/>
  <c r="E16" i="3"/>
  <c r="F16" i="3" s="1"/>
  <c r="G16" i="3" s="1"/>
  <c r="H16" i="3" s="1"/>
  <c r="J15" i="3"/>
  <c r="E15" i="3"/>
  <c r="F15" i="3" s="1"/>
  <c r="G15" i="3" s="1"/>
  <c r="H15" i="3" s="1"/>
  <c r="J14" i="3"/>
  <c r="E14" i="3"/>
  <c r="J13" i="3"/>
  <c r="E13" i="3"/>
  <c r="F13" i="3" s="1"/>
  <c r="J12" i="3"/>
  <c r="E12" i="3"/>
  <c r="F12" i="3" s="1"/>
  <c r="G12" i="3" s="1"/>
  <c r="H12" i="3" s="1"/>
  <c r="J11" i="3"/>
  <c r="E11" i="3"/>
  <c r="F11" i="3" s="1"/>
  <c r="J10" i="3"/>
  <c r="E10" i="3"/>
  <c r="J9" i="3"/>
  <c r="E9" i="3"/>
  <c r="F9" i="3" s="1"/>
  <c r="G9" i="3" s="1"/>
  <c r="H9" i="3" s="1"/>
  <c r="J8" i="3"/>
  <c r="E8" i="3"/>
  <c r="J106" i="3"/>
  <c r="D106" i="3"/>
  <c r="E106" i="3" s="1"/>
  <c r="J6" i="3"/>
  <c r="E6" i="3"/>
  <c r="J5" i="3"/>
  <c r="E5" i="3"/>
  <c r="F5" i="3" s="1"/>
  <c r="E4" i="3"/>
  <c r="J3" i="3"/>
  <c r="E3" i="3"/>
  <c r="J2" i="3"/>
  <c r="E2" i="3"/>
  <c r="F2" i="3" s="1"/>
  <c r="G129" i="4" l="1"/>
  <c r="J129" i="4" s="1"/>
  <c r="H129" i="4"/>
  <c r="G107" i="4"/>
  <c r="J28" i="4"/>
  <c r="J31" i="4"/>
  <c r="J94" i="4"/>
  <c r="H107" i="4"/>
  <c r="N3" i="4"/>
  <c r="J110" i="4"/>
  <c r="I104" i="4"/>
  <c r="J104" i="4" s="1"/>
  <c r="G108" i="4"/>
  <c r="I98" i="4"/>
  <c r="J98" i="4" s="1"/>
  <c r="H108" i="4"/>
  <c r="G106" i="4"/>
  <c r="J106" i="4" s="1"/>
  <c r="J32" i="4"/>
  <c r="N32" i="4" s="1"/>
  <c r="L99" i="4"/>
  <c r="K106" i="4"/>
  <c r="G128" i="4"/>
  <c r="H128" i="4"/>
  <c r="J138" i="4"/>
  <c r="J109" i="4"/>
  <c r="J65" i="4"/>
  <c r="J148" i="4"/>
  <c r="J81" i="4"/>
  <c r="J83" i="4"/>
  <c r="J21" i="4"/>
  <c r="J23" i="4"/>
  <c r="N23" i="4" s="1"/>
  <c r="J45" i="4"/>
  <c r="J18" i="4"/>
  <c r="N18" i="4" s="1"/>
  <c r="J58" i="4"/>
  <c r="J19" i="4"/>
  <c r="N19" i="4" s="1"/>
  <c r="J82" i="4"/>
  <c r="J84" i="4"/>
  <c r="N28" i="4"/>
  <c r="N31" i="4"/>
  <c r="N33" i="4"/>
  <c r="J119" i="4"/>
  <c r="N9" i="4"/>
  <c r="J75" i="4"/>
  <c r="J116" i="4"/>
  <c r="J80" i="4"/>
  <c r="J51" i="4"/>
  <c r="N21" i="4"/>
  <c r="J55" i="4"/>
  <c r="N6" i="4"/>
  <c r="J59" i="4"/>
  <c r="J92" i="4"/>
  <c r="J147" i="4"/>
  <c r="J49" i="4"/>
  <c r="J145" i="4"/>
  <c r="J60" i="4"/>
  <c r="J120" i="4"/>
  <c r="J50" i="4"/>
  <c r="J101" i="4"/>
  <c r="J54" i="4"/>
  <c r="N27" i="4"/>
  <c r="N30" i="4"/>
  <c r="J24" i="4"/>
  <c r="N24" i="4" s="1"/>
  <c r="J61" i="4"/>
  <c r="J5" i="4"/>
  <c r="N5" i="4" s="1"/>
  <c r="N7" i="4"/>
  <c r="J48" i="4"/>
  <c r="J117" i="4"/>
  <c r="J17" i="4"/>
  <c r="N17" i="4" s="1"/>
  <c r="J20" i="4"/>
  <c r="N20" i="4" s="1"/>
  <c r="J22" i="4"/>
  <c r="N22" i="4" s="1"/>
  <c r="J100" i="4"/>
  <c r="J15" i="4"/>
  <c r="N15" i="4" s="1"/>
  <c r="J77" i="4"/>
  <c r="J93" i="4"/>
  <c r="J118" i="4"/>
  <c r="J25" i="4"/>
  <c r="N25" i="4" s="1"/>
  <c r="J52" i="4"/>
  <c r="J91" i="4"/>
  <c r="J56" i="4"/>
  <c r="J146" i="4"/>
  <c r="N8" i="4"/>
  <c r="J26" i="4"/>
  <c r="N26" i="4" s="1"/>
  <c r="J29" i="4"/>
  <c r="N29" i="4" s="1"/>
  <c r="J34" i="4"/>
  <c r="N34" i="4" s="1"/>
  <c r="J53" i="4"/>
  <c r="J14" i="4"/>
  <c r="N14" i="4" s="1"/>
  <c r="J57" i="4"/>
  <c r="J103" i="4"/>
  <c r="J149" i="4"/>
  <c r="J74" i="4"/>
  <c r="J88" i="4"/>
  <c r="J4" i="4"/>
  <c r="N4" i="4" s="1"/>
  <c r="J111" i="4"/>
  <c r="J16" i="4"/>
  <c r="N16" i="4" s="1"/>
  <c r="H40" i="4"/>
  <c r="J40" i="4" s="1"/>
  <c r="J68" i="4"/>
  <c r="J78" i="4"/>
  <c r="J87" i="4"/>
  <c r="K66" i="4"/>
  <c r="H66" i="4"/>
  <c r="G66" i="4"/>
  <c r="J35" i="4"/>
  <c r="J76" i="4"/>
  <c r="J79" i="4"/>
  <c r="J122" i="4"/>
  <c r="J144" i="4"/>
  <c r="J150" i="4"/>
  <c r="J102" i="4"/>
  <c r="J126" i="4"/>
  <c r="G146" i="3"/>
  <c r="H146" i="3" s="1"/>
  <c r="F157" i="3"/>
  <c r="G157" i="3" s="1"/>
  <c r="H157" i="3" s="1"/>
  <c r="F94" i="3"/>
  <c r="G94" i="3" s="1"/>
  <c r="H94" i="3" s="1"/>
  <c r="F96" i="3"/>
  <c r="G96" i="3" s="1"/>
  <c r="H96" i="3" s="1"/>
  <c r="G161" i="3"/>
  <c r="H161" i="3" s="1"/>
  <c r="G201" i="3"/>
  <c r="H201" i="3" s="1"/>
  <c r="G26" i="3"/>
  <c r="H26" i="3" s="1"/>
  <c r="G70" i="3"/>
  <c r="H70" i="3" s="1"/>
  <c r="G11" i="3"/>
  <c r="H11" i="3" s="1"/>
  <c r="G23" i="3"/>
  <c r="H23" i="3" s="1"/>
  <c r="G50" i="3"/>
  <c r="H50" i="3" s="1"/>
  <c r="G118" i="3"/>
  <c r="H118" i="3" s="1"/>
  <c r="F4" i="3"/>
  <c r="G4" i="3" s="1"/>
  <c r="H4" i="3" s="1"/>
  <c r="G56" i="3"/>
  <c r="H56" i="3" s="1"/>
  <c r="F62" i="3"/>
  <c r="G62" i="3" s="1"/>
  <c r="H62" i="3" s="1"/>
  <c r="F6" i="3"/>
  <c r="G6" i="3" s="1"/>
  <c r="H6" i="3" s="1"/>
  <c r="F131" i="3"/>
  <c r="G131" i="3" s="1"/>
  <c r="H131" i="3" s="1"/>
  <c r="F72" i="3"/>
  <c r="G72" i="3" s="1"/>
  <c r="H72" i="3" s="1"/>
  <c r="G153" i="3"/>
  <c r="H153" i="3" s="1"/>
  <c r="F22" i="3"/>
  <c r="G22" i="3" s="1"/>
  <c r="H22" i="3" s="1"/>
  <c r="F122" i="3"/>
  <c r="G122" i="3" s="1"/>
  <c r="H122" i="3" s="1"/>
  <c r="G34" i="3"/>
  <c r="H34" i="3" s="1"/>
  <c r="F3" i="3"/>
  <c r="G3" i="3" s="1"/>
  <c r="H3" i="3" s="1"/>
  <c r="F48" i="3"/>
  <c r="G48" i="3" s="1"/>
  <c r="H48" i="3" s="1"/>
  <c r="F170" i="3"/>
  <c r="G170" i="3" s="1"/>
  <c r="H170" i="3" s="1"/>
  <c r="F86" i="3"/>
  <c r="G86" i="3" s="1"/>
  <c r="H86" i="3" s="1"/>
  <c r="F136" i="3"/>
  <c r="G136" i="3" s="1"/>
  <c r="H136" i="3" s="1"/>
  <c r="F208" i="3"/>
  <c r="G208" i="3" s="1"/>
  <c r="H208" i="3" s="1"/>
  <c r="G24" i="3"/>
  <c r="H24" i="3" s="1"/>
  <c r="F171" i="3"/>
  <c r="G171" i="3" s="1"/>
  <c r="H171" i="3" s="1"/>
  <c r="F210" i="3"/>
  <c r="G210" i="3" s="1"/>
  <c r="H210" i="3" s="1"/>
  <c r="G191" i="3"/>
  <c r="H191" i="3" s="1"/>
  <c r="F188" i="3"/>
  <c r="G188" i="3" s="1"/>
  <c r="H188" i="3" s="1"/>
  <c r="G21" i="3"/>
  <c r="H21" i="3" s="1"/>
  <c r="G83" i="3"/>
  <c r="H83" i="3" s="1"/>
  <c r="G91" i="3"/>
  <c r="H91" i="3" s="1"/>
  <c r="F88" i="3"/>
  <c r="G88" i="3" s="1"/>
  <c r="H88" i="3" s="1"/>
  <c r="G95" i="3"/>
  <c r="H95" i="3" s="1"/>
  <c r="F218" i="3"/>
  <c r="G218" i="3" s="1"/>
  <c r="H218" i="3" s="1"/>
  <c r="G59" i="3"/>
  <c r="H59" i="3" s="1"/>
  <c r="F68" i="3"/>
  <c r="G68" i="3" s="1"/>
  <c r="H68" i="3" s="1"/>
  <c r="F81" i="3"/>
  <c r="G81" i="3" s="1"/>
  <c r="H81" i="3" s="1"/>
  <c r="G137" i="3"/>
  <c r="H137" i="3" s="1"/>
  <c r="F92" i="3"/>
  <c r="G92" i="3" s="1"/>
  <c r="H92" i="3" s="1"/>
  <c r="F113" i="3"/>
  <c r="G113" i="3" s="1"/>
  <c r="H113" i="3" s="1"/>
  <c r="F116" i="3"/>
  <c r="G116" i="3" s="1"/>
  <c r="H116" i="3" s="1"/>
  <c r="F134" i="3"/>
  <c r="G134" i="3" s="1"/>
  <c r="H134" i="3" s="1"/>
  <c r="F165" i="3"/>
  <c r="G165" i="3" s="1"/>
  <c r="H165" i="3" s="1"/>
  <c r="G90" i="3"/>
  <c r="H90" i="3" s="1"/>
  <c r="G185" i="3"/>
  <c r="H185" i="3" s="1"/>
  <c r="F14" i="3"/>
  <c r="G14" i="3" s="1"/>
  <c r="H14" i="3" s="1"/>
  <c r="G47" i="3"/>
  <c r="H47" i="3" s="1"/>
  <c r="F55" i="3"/>
  <c r="G55" i="3" s="1"/>
  <c r="H55" i="3" s="1"/>
  <c r="G101" i="3"/>
  <c r="H101" i="3" s="1"/>
  <c r="F199" i="3"/>
  <c r="G199" i="3" s="1"/>
  <c r="H199" i="3" s="1"/>
  <c r="G222" i="3"/>
  <c r="H222" i="3" s="1"/>
  <c r="F106" i="3"/>
  <c r="G106" i="3" s="1"/>
  <c r="H106" i="3" s="1"/>
  <c r="F29" i="3"/>
  <c r="G29" i="3" s="1"/>
  <c r="H29" i="3" s="1"/>
  <c r="F37" i="3"/>
  <c r="G37" i="3" s="1"/>
  <c r="H37" i="3" s="1"/>
  <c r="G45" i="3"/>
  <c r="H45" i="3" s="1"/>
  <c r="G54" i="3"/>
  <c r="H54" i="3" s="1"/>
  <c r="F79" i="3"/>
  <c r="G79" i="3" s="1"/>
  <c r="H79" i="3" s="1"/>
  <c r="G82" i="3"/>
  <c r="H82" i="3" s="1"/>
  <c r="G97" i="3"/>
  <c r="H97" i="3" s="1"/>
  <c r="F103" i="3"/>
  <c r="G103" i="3" s="1"/>
  <c r="H103" i="3" s="1"/>
  <c r="F176" i="3"/>
  <c r="G176" i="3" s="1"/>
  <c r="H176" i="3" s="1"/>
  <c r="F100" i="3"/>
  <c r="G100" i="3" s="1"/>
  <c r="H100" i="3" s="1"/>
  <c r="F110" i="3"/>
  <c r="G110" i="3" s="1"/>
  <c r="H110" i="3" s="1"/>
  <c r="F141" i="3"/>
  <c r="G141" i="3" s="1"/>
  <c r="H141" i="3" s="1"/>
  <c r="G166" i="3"/>
  <c r="H166" i="3" s="1"/>
  <c r="G160" i="3"/>
  <c r="H160" i="3" s="1"/>
  <c r="F212" i="3"/>
  <c r="G212" i="3" s="1"/>
  <c r="H212" i="3" s="1"/>
  <c r="F162" i="3"/>
  <c r="G162" i="3" s="1"/>
  <c r="H162" i="3" s="1"/>
  <c r="G143" i="3"/>
  <c r="H143" i="3" s="1"/>
  <c r="F135" i="3"/>
  <c r="G135" i="3" s="1"/>
  <c r="H135" i="3" s="1"/>
  <c r="F60" i="3"/>
  <c r="G60" i="3" s="1"/>
  <c r="H60" i="3" s="1"/>
  <c r="G32" i="3"/>
  <c r="H32" i="3" s="1"/>
  <c r="G2" i="3"/>
  <c r="H2" i="3" s="1"/>
  <c r="G5" i="3"/>
  <c r="H5" i="3" s="1"/>
  <c r="G19" i="3"/>
  <c r="H19" i="3" s="1"/>
  <c r="G27" i="3"/>
  <c r="H27" i="3" s="1"/>
  <c r="G30" i="3"/>
  <c r="H30" i="3" s="1"/>
  <c r="G35" i="3"/>
  <c r="H35" i="3" s="1"/>
  <c r="G46" i="3"/>
  <c r="H46" i="3" s="1"/>
  <c r="G49" i="3"/>
  <c r="H49" i="3" s="1"/>
  <c r="G52" i="3"/>
  <c r="H52" i="3" s="1"/>
  <c r="G80" i="3"/>
  <c r="H80" i="3" s="1"/>
  <c r="G85" i="3"/>
  <c r="H85" i="3" s="1"/>
  <c r="G104" i="3"/>
  <c r="H104" i="3" s="1"/>
  <c r="F128" i="3"/>
  <c r="G128" i="3" s="1"/>
  <c r="H128" i="3" s="1"/>
  <c r="F184" i="3"/>
  <c r="G184" i="3" s="1"/>
  <c r="H184" i="3" s="1"/>
  <c r="F172" i="3"/>
  <c r="G172" i="3" s="1"/>
  <c r="H172" i="3" s="1"/>
  <c r="F61" i="3"/>
  <c r="G61" i="3" s="1"/>
  <c r="H61" i="3" s="1"/>
  <c r="F138" i="3"/>
  <c r="G138" i="3" s="1"/>
  <c r="H138" i="3" s="1"/>
  <c r="F163" i="3"/>
  <c r="G163" i="3" s="1"/>
  <c r="H163" i="3" s="1"/>
  <c r="G65" i="3"/>
  <c r="H65" i="3" s="1"/>
  <c r="F10" i="3"/>
  <c r="G10" i="3" s="1"/>
  <c r="H10" i="3" s="1"/>
  <c r="G13" i="3"/>
  <c r="H13" i="3" s="1"/>
  <c r="G57" i="3"/>
  <c r="H57" i="3" s="1"/>
  <c r="F77" i="3"/>
  <c r="G77" i="3" s="1"/>
  <c r="H77" i="3" s="1"/>
  <c r="F25" i="3"/>
  <c r="G25" i="3" s="1"/>
  <c r="H25" i="3" s="1"/>
  <c r="F41" i="3"/>
  <c r="G41" i="3" s="1"/>
  <c r="H41" i="3" s="1"/>
  <c r="G69" i="3"/>
  <c r="H69" i="3" s="1"/>
  <c r="F93" i="3"/>
  <c r="G93" i="3" s="1"/>
  <c r="H93" i="3" s="1"/>
  <c r="G108" i="3"/>
  <c r="H108" i="3" s="1"/>
  <c r="G33" i="3"/>
  <c r="H33" i="3" s="1"/>
  <c r="G58" i="3"/>
  <c r="H58" i="3" s="1"/>
  <c r="G130" i="3"/>
  <c r="H130" i="3" s="1"/>
  <c r="F43" i="3"/>
  <c r="G43" i="3" s="1"/>
  <c r="H43" i="3" s="1"/>
  <c r="G66" i="3"/>
  <c r="H66" i="3" s="1"/>
  <c r="G111" i="3"/>
  <c r="H111" i="3" s="1"/>
  <c r="G78" i="3"/>
  <c r="H78" i="3" s="1"/>
  <c r="G71" i="3"/>
  <c r="H71" i="3" s="1"/>
  <c r="F8" i="3"/>
  <c r="G8" i="3" s="1"/>
  <c r="H8" i="3" s="1"/>
  <c r="G149" i="3"/>
  <c r="H149" i="3" s="1"/>
  <c r="G107" i="3"/>
  <c r="H107" i="3" s="1"/>
  <c r="F169" i="3"/>
  <c r="G169" i="3" s="1"/>
  <c r="H169" i="3" s="1"/>
  <c r="G42" i="3"/>
  <c r="H42" i="3" s="1"/>
  <c r="F53" i="3"/>
  <c r="G53" i="3" s="1"/>
  <c r="H53" i="3" s="1"/>
  <c r="F151" i="3"/>
  <c r="G151" i="3" s="1"/>
  <c r="H151" i="3" s="1"/>
  <c r="G99" i="3"/>
  <c r="H99" i="3" s="1"/>
  <c r="G102" i="3"/>
  <c r="H102" i="3" s="1"/>
  <c r="G109" i="3"/>
  <c r="H109" i="3" s="1"/>
  <c r="G76" i="3"/>
  <c r="H76" i="3" s="1"/>
  <c r="G155" i="3"/>
  <c r="H155" i="3" s="1"/>
  <c r="G207" i="3"/>
  <c r="H207" i="3" s="1"/>
  <c r="G112" i="3"/>
  <c r="H112" i="3" s="1"/>
  <c r="F158" i="3"/>
  <c r="G158" i="3" s="1"/>
  <c r="H158" i="3" s="1"/>
  <c r="F178" i="3"/>
  <c r="G178" i="3" s="1"/>
  <c r="H178" i="3" s="1"/>
  <c r="F209" i="3"/>
  <c r="G209" i="3" s="1"/>
  <c r="H209" i="3" s="1"/>
  <c r="F211" i="3"/>
  <c r="G211" i="3" s="1"/>
  <c r="H211" i="3" s="1"/>
  <c r="G115" i="3"/>
  <c r="H115" i="3" s="1"/>
  <c r="G126" i="3"/>
  <c r="H126" i="3" s="1"/>
  <c r="G205" i="3"/>
  <c r="H205" i="3" s="1"/>
  <c r="F125" i="3"/>
  <c r="G125" i="3" s="1"/>
  <c r="H125" i="3" s="1"/>
  <c r="F147" i="3"/>
  <c r="G147" i="3" s="1"/>
  <c r="H147" i="3" s="1"/>
  <c r="G181" i="3"/>
  <c r="H181" i="3" s="1"/>
  <c r="F175" i="3"/>
  <c r="G175" i="3" s="1"/>
  <c r="H175" i="3" s="1"/>
  <c r="G213" i="3"/>
  <c r="H213" i="3" s="1"/>
  <c r="F117" i="3"/>
  <c r="G117" i="3" s="1"/>
  <c r="H117" i="3" s="1"/>
  <c r="F204" i="3"/>
  <c r="G204" i="3" s="1"/>
  <c r="H204" i="3" s="1"/>
  <c r="G177" i="3"/>
  <c r="H177" i="3" s="1"/>
  <c r="F215" i="3"/>
  <c r="G215" i="3" s="1"/>
  <c r="H215" i="3" s="1"/>
  <c r="G173" i="3"/>
  <c r="H173" i="3" s="1"/>
  <c r="F187" i="3"/>
  <c r="G187" i="3" s="1"/>
  <c r="H187" i="3" s="1"/>
  <c r="G193" i="3"/>
  <c r="H193" i="3" s="1"/>
  <c r="F144" i="3"/>
  <c r="G144" i="3" s="1"/>
  <c r="H144" i="3" s="1"/>
  <c r="G183" i="3"/>
  <c r="H183" i="3" s="1"/>
  <c r="F123" i="3"/>
  <c r="G123" i="3" s="1"/>
  <c r="H123" i="3" s="1"/>
  <c r="F168" i="3"/>
  <c r="G168" i="3" s="1"/>
  <c r="H168" i="3" s="1"/>
  <c r="F156" i="3"/>
  <c r="G156" i="3" s="1"/>
  <c r="H156" i="3" s="1"/>
  <c r="F202" i="3"/>
  <c r="G202" i="3" s="1"/>
  <c r="H202" i="3" s="1"/>
  <c r="F220" i="3"/>
  <c r="G220" i="3" s="1"/>
  <c r="H220" i="3" s="1"/>
  <c r="F180" i="3"/>
  <c r="G180" i="3" s="1"/>
  <c r="H180" i="3" s="1"/>
  <c r="F214" i="3"/>
  <c r="G214" i="3" s="1"/>
  <c r="H214" i="3" s="1"/>
  <c r="G195" i="3"/>
  <c r="H195" i="3" s="1"/>
  <c r="F217" i="3"/>
  <c r="G217" i="3" s="1"/>
  <c r="H217" i="3" s="1"/>
  <c r="F189" i="3"/>
  <c r="G189" i="3" s="1"/>
  <c r="H189" i="3" s="1"/>
  <c r="G223" i="3"/>
  <c r="H223" i="3" s="1"/>
  <c r="F221" i="3"/>
  <c r="G221" i="3" s="1"/>
  <c r="H221" i="3" s="1"/>
  <c r="G121" i="3"/>
  <c r="H121" i="3" s="1"/>
  <c r="J107" i="4" l="1"/>
  <c r="J108" i="4"/>
  <c r="J128" i="4"/>
  <c r="J66" i="4"/>
</calcChain>
</file>

<file path=xl/sharedStrings.xml><?xml version="1.0" encoding="utf-8"?>
<sst xmlns="http://schemas.openxmlformats.org/spreadsheetml/2006/main" count="1160" uniqueCount="427">
  <si>
    <t>Date</t>
  </si>
  <si>
    <t>Particualrs</t>
  </si>
  <si>
    <t>Amount</t>
  </si>
  <si>
    <t>Variable Salary Wyzmindz 25-26 Q1</t>
  </si>
  <si>
    <t>Variable Salary Wyzmindz 25-26-Q2</t>
  </si>
  <si>
    <t>Variable Salary Wyzmindz 25-26-Q3</t>
  </si>
  <si>
    <t>Variable Salary Wyzmindz 25-26-Q4</t>
  </si>
  <si>
    <t>Variable Salary Idamtat 25-26-Q3</t>
  </si>
  <si>
    <t>Variable Salary Idamtat 25-26-Q4</t>
  </si>
  <si>
    <t>7days Differentials Salary for the month of Mar'26</t>
  </si>
  <si>
    <t>VOCAB Intern Salary-Mar26</t>
  </si>
  <si>
    <t>Sachin Manan Salary advance</t>
  </si>
  <si>
    <t>MCOM Salary - Apr'26</t>
  </si>
  <si>
    <t>Consultant Salaries - Apr'26</t>
  </si>
  <si>
    <t>MCOM Salary - May'26</t>
  </si>
  <si>
    <t>Consultant Salaries - May'26</t>
  </si>
  <si>
    <t>Ref. No.</t>
  </si>
  <si>
    <t>Clients</t>
  </si>
  <si>
    <t>Basic Amt</t>
  </si>
  <si>
    <t>Pending Amt</t>
  </si>
  <si>
    <t>GST Amt</t>
  </si>
  <si>
    <t>Gross Amt</t>
  </si>
  <si>
    <t xml:space="preserve">Net Receipt </t>
  </si>
  <si>
    <t>Ageing</t>
  </si>
  <si>
    <t>WMS2526-1164</t>
  </si>
  <si>
    <t>Mahavir Auto Diagnostics Private Ltd</t>
  </si>
  <si>
    <t>WMS2526-1090</t>
  </si>
  <si>
    <t>DPM Hyundai</t>
  </si>
  <si>
    <t>2025-07-FLK372</t>
  </si>
  <si>
    <t>FlipKart QMC</t>
  </si>
  <si>
    <t>WMS2526-1031</t>
  </si>
  <si>
    <t>WMS2526-1145</t>
  </si>
  <si>
    <t>Existing - Forecast</t>
  </si>
  <si>
    <t>JEEVES CONSUMER SERVICES PRIVATE LIMITED</t>
  </si>
  <si>
    <t>IDM2526-075</t>
  </si>
  <si>
    <t>AVISION SYSTEMS PRIVATE LIMITED</t>
  </si>
  <si>
    <t>IDM2526-084</t>
  </si>
  <si>
    <t>IDM2526-093</t>
  </si>
  <si>
    <t>WMS2627-0076</t>
  </si>
  <si>
    <t>Phonepe Private Limited</t>
  </si>
  <si>
    <t>WMS2526-750</t>
  </si>
  <si>
    <t>TEAM_ DIGITIZERS_ PVT. LTD</t>
  </si>
  <si>
    <t>WMS2526-967</t>
  </si>
  <si>
    <t>WMS2526-1035</t>
  </si>
  <si>
    <t>WMS2526-1114</t>
  </si>
  <si>
    <t>Lenovo (India) Private Limited</t>
  </si>
  <si>
    <t>WMS2526-702</t>
  </si>
  <si>
    <t>Allied services</t>
  </si>
  <si>
    <t>WMS2526-1136</t>
  </si>
  <si>
    <t>AUTOGUILD CARS PVT LTD</t>
  </si>
  <si>
    <t>Invoice date</t>
  </si>
  <si>
    <t>Month</t>
  </si>
  <si>
    <t>Payment Date</t>
  </si>
  <si>
    <t>Vendors Name as per tally</t>
  </si>
  <si>
    <t>Expense</t>
  </si>
  <si>
    <t>Base Value</t>
  </si>
  <si>
    <t>SGST</t>
  </si>
  <si>
    <t>CGST</t>
  </si>
  <si>
    <t>IGST</t>
  </si>
  <si>
    <t>Gross</t>
  </si>
  <si>
    <t>TDS @1%</t>
  </si>
  <si>
    <t>TDS @2%</t>
  </si>
  <si>
    <t>TDS @ 10%</t>
  </si>
  <si>
    <t>Payable</t>
  </si>
  <si>
    <t>Cloud4C Services Pvt Limited</t>
  </si>
  <si>
    <t>Cloud Server</t>
  </si>
  <si>
    <t>BHARTI AIRTEL Ltd (TELECOMMUNICATION)</t>
  </si>
  <si>
    <t>TELECOMMUNICATION SERVICE</t>
  </si>
  <si>
    <t>Particulars</t>
  </si>
  <si>
    <t>FY</t>
  </si>
  <si>
    <t>ESI Bangalore 21-22 (Unpaid due to IP creation &amp; emp left)</t>
  </si>
  <si>
    <t>21-22</t>
  </si>
  <si>
    <t>ESI Noida 21-22 (Unpaid due to IP creation &amp; recitification)</t>
  </si>
  <si>
    <t>ESI Interest &amp; Damages- Portal upto Mar 22</t>
  </si>
  <si>
    <t>TDS penalty &amp; Interest</t>
  </si>
  <si>
    <t>GST Interest Noida FY 19-20</t>
  </si>
  <si>
    <t>19-20</t>
  </si>
  <si>
    <t>GST Interest Noida FY 21-22</t>
  </si>
  <si>
    <t>GST Noida Dues FY2017 to 2020</t>
  </si>
  <si>
    <t>GST Delhi Dues FY2017 to 2020</t>
  </si>
  <si>
    <t>Nature of Payment</t>
  </si>
  <si>
    <t>Actual date</t>
  </si>
  <si>
    <t>Employee Reimbursements</t>
  </si>
  <si>
    <t>GreytHR claims</t>
  </si>
  <si>
    <t>PENTAGON PROPCARE SERVICES</t>
  </si>
  <si>
    <t>House keeping charges</t>
  </si>
  <si>
    <t>Amul Air Conditioners</t>
  </si>
  <si>
    <t>AC Charges</t>
  </si>
  <si>
    <t>WMS2526-1137</t>
  </si>
  <si>
    <t>YCA2526-116</t>
  </si>
  <si>
    <t>CHARU MOTORS PRIVATE LTD-Yocoya</t>
  </si>
  <si>
    <t>WMS2526-873</t>
  </si>
  <si>
    <t>DREAM MACHINES</t>
  </si>
  <si>
    <t>WMS2526-986</t>
  </si>
  <si>
    <t>WMS2526-1086</t>
  </si>
  <si>
    <t>YCA2526-153</t>
  </si>
  <si>
    <t>KATARIA AUTOMOBILES PRIVATE LIMITED-Yocoya</t>
  </si>
  <si>
    <t>WMS2526-1171</t>
  </si>
  <si>
    <t>MADHUBAN MOTORS PRIVATE LIMITED</t>
  </si>
  <si>
    <t>YCA2526-167</t>
  </si>
  <si>
    <t>NORTHVIEW CARS PRIVATE LIMITED-Yocoya</t>
  </si>
  <si>
    <t>WMS2526-1142</t>
  </si>
  <si>
    <t>NORTHVIEW CARS PRIVATE LIMITED</t>
  </si>
  <si>
    <t>WMS2526-1143</t>
  </si>
  <si>
    <t>WMS2526-1037</t>
  </si>
  <si>
    <t>NORTH POINT CARS PVT LTD</t>
  </si>
  <si>
    <t>WMS2526-1140</t>
  </si>
  <si>
    <t>WMS2526-1141</t>
  </si>
  <si>
    <t>WMS2526-1099</t>
  </si>
  <si>
    <t>PODDAR CAR WORLD PRIVATE LIMITED</t>
  </si>
  <si>
    <t>WMS2526-1100</t>
  </si>
  <si>
    <t>PRASAD FOOD PRODUCTS PRIVATE LIMITED</t>
  </si>
  <si>
    <t>WMS2526-1101</t>
  </si>
  <si>
    <t>SPEED AUTO CARE PRIVATE LIMITED</t>
  </si>
  <si>
    <t>WMS2526-732</t>
  </si>
  <si>
    <t>TEAM DIGITIZERS PVT. LTD.</t>
  </si>
  <si>
    <t>WMS2526-838</t>
  </si>
  <si>
    <t>WMS2526-966</t>
  </si>
  <si>
    <t>WMS2526-1054</t>
  </si>
  <si>
    <t>WMS2526-1148</t>
  </si>
  <si>
    <t>WMS2526-1069</t>
  </si>
  <si>
    <t>L &amp; T Finance Limited</t>
  </si>
  <si>
    <t>WMS2526-1070</t>
  </si>
  <si>
    <t>WMS2526-1107</t>
  </si>
  <si>
    <t>WMS2526-1151</t>
  </si>
  <si>
    <t>WMS2526-1152</t>
  </si>
  <si>
    <t>WMS2526-1153</t>
  </si>
  <si>
    <t>WMS2526-1154</t>
  </si>
  <si>
    <t>WMS2526-1155</t>
  </si>
  <si>
    <t>WMS2526-1156</t>
  </si>
  <si>
    <t>WMS2526-1157</t>
  </si>
  <si>
    <t>WMS2526-1149</t>
  </si>
  <si>
    <t>WAKEFIT INNOVATIONS LIMITED</t>
  </si>
  <si>
    <t>WMS2526-989</t>
  </si>
  <si>
    <t>MODI AUTO GROUP PRIVATE LIMITED</t>
  </si>
  <si>
    <t>WMS2526-990</t>
  </si>
  <si>
    <t>WMS2526-991</t>
  </si>
  <si>
    <t>WMS2526-1095</t>
  </si>
  <si>
    <t>WMS2526-1096</t>
  </si>
  <si>
    <t>WMS2526-1097</t>
  </si>
  <si>
    <t>WMS2526-1098</t>
  </si>
  <si>
    <t>WMS2526-983</t>
  </si>
  <si>
    <t>CARNEXT AUTO PRIVATE LIMITED</t>
  </si>
  <si>
    <t>WMS2526-984</t>
  </si>
  <si>
    <t>WMS2526-1082</t>
  </si>
  <si>
    <t>WMS2526-1083</t>
  </si>
  <si>
    <t>WMS2526-890</t>
  </si>
  <si>
    <t>VCM AGENCIES PVT, LTD.</t>
  </si>
  <si>
    <t>WMS2526-891</t>
  </si>
  <si>
    <t>WMS2526-995</t>
  </si>
  <si>
    <t>WMS2526-996</t>
  </si>
  <si>
    <t>WMS2526-1102</t>
  </si>
  <si>
    <t>WMS2526-1103</t>
  </si>
  <si>
    <t>WMS2526-1158</t>
  </si>
  <si>
    <t>AXIS BANK LIMITED</t>
  </si>
  <si>
    <t>WMS2526-1120</t>
  </si>
  <si>
    <t>SRI VARSA AUTO AGENCIES PRIVATE LIMITED</t>
  </si>
  <si>
    <t>WMS2526-1003</t>
  </si>
  <si>
    <t>UTKAL AUTOMOBILES PRIVATE LIMITED</t>
  </si>
  <si>
    <t>WMS2526-1004</t>
  </si>
  <si>
    <t>WMS2526-1104</t>
  </si>
  <si>
    <t>TATA AIG GENERAL INSURANCE CO. LTD.</t>
  </si>
  <si>
    <t>WMS2526-846</t>
  </si>
  <si>
    <t>DEHRADUN PREMIER MOTORS PVT LTD</t>
  </si>
  <si>
    <t>WMS2526-912</t>
  </si>
  <si>
    <t>LUXON MOTORS PRIVATE LIMITED</t>
  </si>
  <si>
    <t>WMS2526-947</t>
  </si>
  <si>
    <t>RAMANI MOTORS PRIVATE LIMITED</t>
  </si>
  <si>
    <t>WMS2627-0010</t>
  </si>
  <si>
    <t>ADVAITH AEROSPACE PVT. LTD.</t>
  </si>
  <si>
    <t>WMS2627-0016</t>
  </si>
  <si>
    <t>BULLMENN MOTORS</t>
  </si>
  <si>
    <t>WMS2627-0060</t>
  </si>
  <si>
    <t>Cauvery Motors Pvt Ltd</t>
  </si>
  <si>
    <t>WMS2627-0026</t>
  </si>
  <si>
    <t>CHAVAN MOTORS DIVISION INDIA PRIVATE LIMITED</t>
  </si>
  <si>
    <t>WMS2627-0029</t>
  </si>
  <si>
    <t>J K MOTORS</t>
  </si>
  <si>
    <t>WMS2627-0013</t>
  </si>
  <si>
    <t>Key Motor Ventures Pvt. Ltd.</t>
  </si>
  <si>
    <t>WMS2627-0030</t>
  </si>
  <si>
    <t>PARADISE AUTOCORP PRIVATE LIMITED</t>
  </si>
  <si>
    <t>WMS2627-0031</t>
  </si>
  <si>
    <t>PLATINUM MOTOCORP LLP</t>
  </si>
  <si>
    <t>WMS2627-0032</t>
  </si>
  <si>
    <t>Samta Motors Private Limited</t>
  </si>
  <si>
    <t>WMS2627-0015</t>
  </si>
  <si>
    <t>TVS PERSONAL MOBILITY SOLUTION PRIVATE LIMITED</t>
  </si>
  <si>
    <t>IDM2627-01</t>
  </si>
  <si>
    <t>Keus Automation Pvt Ltd</t>
  </si>
  <si>
    <t>WMS2627-0063</t>
  </si>
  <si>
    <t>Standard Charted Global Business Services Pvt Ltd</t>
  </si>
  <si>
    <t>WMS2627-0050</t>
  </si>
  <si>
    <t>WMS2627-0066</t>
  </si>
  <si>
    <t>WMS2627-0052</t>
  </si>
  <si>
    <t>WMS2627-0053</t>
  </si>
  <si>
    <t>WMS2627-0054</t>
  </si>
  <si>
    <t>WMS2627-0055</t>
  </si>
  <si>
    <t>WMS2627-0056</t>
  </si>
  <si>
    <t>WMS2627-0057</t>
  </si>
  <si>
    <t>WMS2627-0058</t>
  </si>
  <si>
    <t>WMS2627-0046</t>
  </si>
  <si>
    <t>WMS2627-0067</t>
  </si>
  <si>
    <t>WMS2627-0068</t>
  </si>
  <si>
    <t>WMS2627-0069</t>
  </si>
  <si>
    <t>WMS2627-0070</t>
  </si>
  <si>
    <t>WMS2627-0071</t>
  </si>
  <si>
    <t>WMS2627-0072</t>
  </si>
  <si>
    <t>WMS2627-0073</t>
  </si>
  <si>
    <t>WMS2627-0045</t>
  </si>
  <si>
    <t>EUREKA FORBES LIMITED</t>
  </si>
  <si>
    <t>WMS2526-1146</t>
  </si>
  <si>
    <t>Zepto Marketplace Pvt Ltd</t>
  </si>
  <si>
    <t>WMS2627-0061</t>
  </si>
  <si>
    <t>WMS2627-0062</t>
  </si>
  <si>
    <t>Meesho Technologies Private Limited</t>
  </si>
  <si>
    <t>WMS2526-1168</t>
  </si>
  <si>
    <t>MEDEXPERT BILLING AND CONSULTING PRIVATE LIMITED</t>
  </si>
  <si>
    <t>WMS2526-1169</t>
  </si>
  <si>
    <t>CSC Holdings LLC</t>
  </si>
  <si>
    <t>Advaith Motors Pvt Ltd-Yocoya</t>
  </si>
  <si>
    <t>Popular Vehicles and Services Ltd.- Yocoya</t>
  </si>
  <si>
    <t>YCA2627-01</t>
  </si>
  <si>
    <t>EDME Insurance Brokers Ltd (Formerly Aditya Birla Insurance Brokers Ltd.)</t>
  </si>
  <si>
    <t>LUXON MOTORS PRIVATE LIMITED-Yocoya</t>
  </si>
  <si>
    <t>YCA2627-02</t>
  </si>
  <si>
    <t>KOTHARI CARS PRIVATE LIMITED</t>
  </si>
  <si>
    <t>KUN CAPITAL FINSERV IMF PRIVATE LIMITED</t>
  </si>
  <si>
    <t>WMS2627-0018</t>
  </si>
  <si>
    <t>Bhandari Automobile Pvt Ltd</t>
  </si>
  <si>
    <t>WMS2627-0025</t>
  </si>
  <si>
    <t>BRITE AUTOCARS PRIVATE LIMITED</t>
  </si>
  <si>
    <t>Cauvery Motors Private Limited</t>
  </si>
  <si>
    <t>WMS2627-0027</t>
  </si>
  <si>
    <t>WMS2627-0064</t>
  </si>
  <si>
    <t>Galaxy Automobiles Pvt Ltd</t>
  </si>
  <si>
    <t>WMS2627-0041</t>
  </si>
  <si>
    <t>HERO INSURANCE BROKING INDIA PRIVATE LIMITED</t>
  </si>
  <si>
    <t>WMS2627-0038</t>
  </si>
  <si>
    <t>KALYANI MOTORS PRIVATE LIMITED</t>
  </si>
  <si>
    <t>MAHANTH MOTORS</t>
  </si>
  <si>
    <t>POPULAR MOTORWORLD PRIVATE LIMITED</t>
  </si>
  <si>
    <t>WMS2627-0008</t>
  </si>
  <si>
    <t>Sansai Motors Private Limited</t>
  </si>
  <si>
    <t>WMS2627-0024</t>
  </si>
  <si>
    <t>Trident Automobiles (Bangalore) Pvt. Ltd.</t>
  </si>
  <si>
    <t>WMS2627-0042</t>
  </si>
  <si>
    <t>KARNAVATI WHEELS PRIVATE LIMITED</t>
  </si>
  <si>
    <t>WMS2627-0003</t>
  </si>
  <si>
    <t>BRIDGEWAY MOTORS LLP</t>
  </si>
  <si>
    <t>WMS2627-0017</t>
  </si>
  <si>
    <t>WMS2627-0002</t>
  </si>
  <si>
    <t>Advaith Motors Pvt Ltd</t>
  </si>
  <si>
    <t>WMS2627-0065</t>
  </si>
  <si>
    <t>CHARU MOTORS PRIVATE LTD</t>
  </si>
  <si>
    <t>WMS2627-0019</t>
  </si>
  <si>
    <t>Consortium Motors Private Limited</t>
  </si>
  <si>
    <t>WMS2627-0020</t>
  </si>
  <si>
    <t>INDUS MOTOR COMPANY PRIVATE LIMITED</t>
  </si>
  <si>
    <t>WMS2627-0005</t>
  </si>
  <si>
    <t>K U N AUTO COMPANY PRIVATE LIMITED</t>
  </si>
  <si>
    <t>WMS2627-0021</t>
  </si>
  <si>
    <t>KATARIA AUTOMOBILES PRIVATE LIMITED</t>
  </si>
  <si>
    <t>YCA2627-10</t>
  </si>
  <si>
    <t>WMS2627-0022</t>
  </si>
  <si>
    <t>WMS2627-0023</t>
  </si>
  <si>
    <t>WMS2627-0044</t>
  </si>
  <si>
    <t>WMS2627-0074</t>
  </si>
  <si>
    <t>WMS2627-0075</t>
  </si>
  <si>
    <t>WMS2627-0039</t>
  </si>
  <si>
    <t>ADITYA CAR CARE PRIVATE LIMITED</t>
  </si>
  <si>
    <t>RAJA GANESH MOTORS LLP</t>
  </si>
  <si>
    <t>WMS2627-0036</t>
  </si>
  <si>
    <t>WMS2627-0059</t>
  </si>
  <si>
    <t>BIA VENTURES PRIVATE LIMITED</t>
  </si>
  <si>
    <t>WMS2627-0014</t>
  </si>
  <si>
    <t>ARRTHA CARS PRIVATE LIMITED</t>
  </si>
  <si>
    <t>WMS2627-0012</t>
  </si>
  <si>
    <t>VAYUPUTRA AUTOMOBILES PVT LTD</t>
  </si>
  <si>
    <t>WMS2627-0033</t>
  </si>
  <si>
    <t>WASAN BROTHERS PRIVATE LIMITED</t>
  </si>
  <si>
    <t>WMS2627-0028</t>
  </si>
  <si>
    <t>TISPL - Cross Charges</t>
  </si>
  <si>
    <t>IDM2526-092</t>
  </si>
  <si>
    <t>ANVASE EXIM PRIVATE LIMITED</t>
  </si>
  <si>
    <t>IDM2627-02</t>
  </si>
  <si>
    <t>IDM2526-094</t>
  </si>
  <si>
    <t>Kalyan Jewellers India Limited</t>
  </si>
  <si>
    <t>WMS2627-0043</t>
  </si>
  <si>
    <t>YCA2627-07</t>
  </si>
  <si>
    <t>YCA2627-08</t>
  </si>
  <si>
    <t>WMS2627-0011</t>
  </si>
  <si>
    <t>YCA2627-03</t>
  </si>
  <si>
    <t>SP.A. Auto Service Private Limited</t>
  </si>
  <si>
    <t>Tentative Collection Date</t>
  </si>
  <si>
    <t>VOCAB Intern Salary-Apr26</t>
  </si>
  <si>
    <t>Salaries Blr &amp; Noida take home</t>
  </si>
  <si>
    <t>Salaries Idamtat , YOCOYA &amp; RAAAI take home</t>
  </si>
  <si>
    <t>NASCCOM</t>
  </si>
  <si>
    <t>VOCAB Intern Salary-May26</t>
  </si>
  <si>
    <t>Salary Arriers Apr &amp; May'26</t>
  </si>
  <si>
    <t>Creepers Business Solutions Private Limited</t>
  </si>
  <si>
    <t>Technical Support</t>
  </si>
  <si>
    <t>E2E Networks Limited</t>
  </si>
  <si>
    <t>Jio Dongle 900150056598</t>
  </si>
  <si>
    <t>Data Card Charges</t>
  </si>
  <si>
    <t>Tata Tele Business Services</t>
  </si>
  <si>
    <t>TATA Cloud telephony - Idamtat</t>
  </si>
  <si>
    <t>Vodafone Idea Limited-Yocoya</t>
  </si>
  <si>
    <t>Oct'2025</t>
  </si>
  <si>
    <t>Reliance Jio Infocomm Limited - SIM Card</t>
  </si>
  <si>
    <t>TATA Cloud telephony - Wyzmindz</t>
  </si>
  <si>
    <t>Blr PT Mar-26</t>
  </si>
  <si>
    <t>25-26</t>
  </si>
  <si>
    <t>Idamtat PT Mar-26</t>
  </si>
  <si>
    <t>Blr GSt Mar-26</t>
  </si>
  <si>
    <t>Blr TDS Mar'26</t>
  </si>
  <si>
    <t>Idamtat TDS Mar'26</t>
  </si>
  <si>
    <t>Yocoya TDS Mar'26</t>
  </si>
  <si>
    <t>Blr TDS Apr'26</t>
  </si>
  <si>
    <t>26-27</t>
  </si>
  <si>
    <t>Blr PT Apr-26</t>
  </si>
  <si>
    <t>Blr PF Apr-26</t>
  </si>
  <si>
    <t>Blr ESI Apr-26</t>
  </si>
  <si>
    <t>Blr GSt Apr-26</t>
  </si>
  <si>
    <t>Blr TDS May'26</t>
  </si>
  <si>
    <t>Blr PT May-26</t>
  </si>
  <si>
    <t>Blr PF May-26</t>
  </si>
  <si>
    <t>Blr ESI May-26</t>
  </si>
  <si>
    <t>Blr GSt May-26</t>
  </si>
  <si>
    <t>Noida TDS Mar-26</t>
  </si>
  <si>
    <t>Noida TDS Apr-26</t>
  </si>
  <si>
    <t>Noida ESI Apr-26</t>
  </si>
  <si>
    <t>Noida PF Apr-26</t>
  </si>
  <si>
    <t>Noida TDS May'26</t>
  </si>
  <si>
    <t>Noida PF May-26</t>
  </si>
  <si>
    <t>Noida ESI May-26</t>
  </si>
  <si>
    <t>Idamtat TDS Apr'26</t>
  </si>
  <si>
    <t>Idamtat ESI Apr-26</t>
  </si>
  <si>
    <t>Idamtat PF Apr-26</t>
  </si>
  <si>
    <t>Idamtat PT Apr-26</t>
  </si>
  <si>
    <t>Idamtat TDS May'26</t>
  </si>
  <si>
    <t>Idamtat PT May-26</t>
  </si>
  <si>
    <t>Idamtat PF May-26</t>
  </si>
  <si>
    <t>Idamtat ESI May-26</t>
  </si>
  <si>
    <t>Yocoya TDS Apr'26</t>
  </si>
  <si>
    <t>Yocoya PT Apr'26</t>
  </si>
  <si>
    <t>Yocoya TDS May'26</t>
  </si>
  <si>
    <t>Yocoya PT May'26</t>
  </si>
  <si>
    <t>Asteya Services LLP</t>
  </si>
  <si>
    <t>Sales Commission (L&amp;T)</t>
  </si>
  <si>
    <t>Sales Commision</t>
  </si>
  <si>
    <t>M/S LAXMI ENTERPRISES</t>
  </si>
  <si>
    <t>DEVI INTERNATIONAL (Chetan Khosla)</t>
  </si>
  <si>
    <t>Office Equipment</t>
  </si>
  <si>
    <t>ENSAFE SECURITY SERVICES</t>
  </si>
  <si>
    <t>BENCHMARK BUSINESS SOLUTIONS LLP</t>
  </si>
  <si>
    <t>Accounting Services</t>
  </si>
  <si>
    <t>Datta Tech Services/ Hire Charges</t>
  </si>
  <si>
    <t>Hiring of Laptop-WYZ</t>
  </si>
  <si>
    <t>Datta Tech Services/ Hire Charges - Idamtat</t>
  </si>
  <si>
    <t>Hiring of Laptop-Idamtat</t>
  </si>
  <si>
    <t>GreytHR</t>
  </si>
  <si>
    <t>HR Charges</t>
  </si>
  <si>
    <t>SARN-Noida</t>
  </si>
  <si>
    <t>Hire Charges-Computers</t>
  </si>
  <si>
    <t>Sharp Intelligence Bureau/Security Charges</t>
  </si>
  <si>
    <t>Security</t>
  </si>
  <si>
    <t>Sharp Intelligence Bureau/Housekeeping</t>
  </si>
  <si>
    <t>Paradigm Integrated Facility Services Pvt Ltd</t>
  </si>
  <si>
    <t>Security &amp; House Keeping charges</t>
  </si>
  <si>
    <t>Sri Vinayaka Enterprises</t>
  </si>
  <si>
    <t>Water Charges</t>
  </si>
  <si>
    <t>Starlite Office Solution</t>
  </si>
  <si>
    <t>Printing &amp; Stationary</t>
  </si>
  <si>
    <t>Shreya Beverages</t>
  </si>
  <si>
    <t>Staffwelfare</t>
  </si>
  <si>
    <t>V Suresh - Coffee/ Employee Refreshment</t>
  </si>
  <si>
    <t>Staff Welfare</t>
  </si>
  <si>
    <t>Transcloud Labs Private Limited</t>
  </si>
  <si>
    <t>Hire Charges of Software</t>
  </si>
  <si>
    <t>VEE CEE Management</t>
  </si>
  <si>
    <t>Repair &amp; Maintenance</t>
  </si>
  <si>
    <t>Sanctum Technologies Pvt Ltd.</t>
  </si>
  <si>
    <t>Sanctum Technologies Pvt Ltd._Idamtat</t>
  </si>
  <si>
    <t>Prakruthi Printers/ Printing &amp; Stat</t>
  </si>
  <si>
    <t>Printing &amp; Stationery</t>
  </si>
  <si>
    <t>Axis Consultants</t>
  </si>
  <si>
    <t>Professional Charges</t>
  </si>
  <si>
    <t>Calibre Power Controls/ Hire Charges</t>
  </si>
  <si>
    <t>UPS Hire Charges</t>
  </si>
  <si>
    <t>CHEVALIER DESIGNS</t>
  </si>
  <si>
    <t>Consultancy Charges</t>
  </si>
  <si>
    <t>Datta Tech Services/ Hire Charges-Yocoya</t>
  </si>
  <si>
    <t>Hiring of Laptop-Yocoya</t>
  </si>
  <si>
    <t>Yotta Data Services Private Limited</t>
  </si>
  <si>
    <t>Indigo Copier Services/Hire</t>
  </si>
  <si>
    <t>Rental Printer</t>
  </si>
  <si>
    <t>Ingroup Consulting Services LLP</t>
  </si>
  <si>
    <t>International Business Services FZE</t>
  </si>
  <si>
    <t>RALLY INFRA PVT. LTD-Noida</t>
  </si>
  <si>
    <t>Rent Noida New Office</t>
  </si>
  <si>
    <t>Sanctum Technologies Pvt Ltd.-Yocoya</t>
  </si>
  <si>
    <t>SPARZ TELECOM (OPC) PRIVATE LIMITED</t>
  </si>
  <si>
    <t>Rental Charges</t>
  </si>
  <si>
    <t>Trasccon (Rent, Elect &amp; DG)</t>
  </si>
  <si>
    <t>Sublease Rent</t>
  </si>
  <si>
    <t>IVREdge Services Pvt. Ltd.-Noida</t>
  </si>
  <si>
    <t>Cloud Telephone Service Charges</t>
  </si>
  <si>
    <t>Shree Ganesh Enterprises</t>
  </si>
  <si>
    <t>Office Expenses</t>
  </si>
  <si>
    <t>SR SECURITY SERVICES-Noida</t>
  </si>
  <si>
    <t>House Keeping Charges</t>
  </si>
  <si>
    <t>ZOHO Corporation Private Limited</t>
  </si>
  <si>
    <t xml:space="preserve">Pre Paid Expenses </t>
  </si>
  <si>
    <t>BTB Venture - Idamtat</t>
  </si>
  <si>
    <t>Business Promotions-Idamtat</t>
  </si>
  <si>
    <t>Mukunda Shiva and Associates</t>
  </si>
  <si>
    <t>Professional Charges-Yocoya</t>
  </si>
  <si>
    <t>Professional Charges-Idamtat</t>
  </si>
  <si>
    <t>Professional Charges-WYZ</t>
  </si>
  <si>
    <t>Professional Charges-RAAAI</t>
  </si>
  <si>
    <t>Arithra Business Consulting Pvt Ltd</t>
  </si>
  <si>
    <t>Due date</t>
  </si>
  <si>
    <t>Billing Type</t>
  </si>
  <si>
    <t>Advance</t>
  </si>
  <si>
    <t>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</si>
</sst>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dd/mmm/yy;@"/>
    <numFmt numFmtId="165" formatCode="_ * #,##0_ ;_ * \-#,##0_ ;_ * &quot;-&quot;??_ ;_ @_ "/>
    <numFmt numFmtId="166" formatCode="[$-409]d/mmm/yy;@"/>
    <numFmt numFmtId="167" formatCode="[$-14009]d\ mmmm\ yyyy;@"/>
  </numFmts>
  <fonts count="11" x14ac:knownFonts="1">
    <font>
      <sz val="11"/>
      <color theme="1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indexed="8"/>
      <name val="Tahoma"/>
      <family val="2"/>
    </font>
    <font>
      <b/>
      <i/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0"/>
      <color theme="1"/>
      <name val="Tahoma"/>
      <family val="2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5" fontId="2" fillId="2" borderId="0" xfId="2" applyNumberFormat="1" applyFont="1" applyFill="1" applyBorder="1"/>
    <xf numFmtId="165" fontId="3" fillId="2" borderId="0" xfId="2" applyNumberFormat="1" applyFont="1" applyFill="1" applyBorder="1"/>
    <xf numFmtId="0" fontId="4" fillId="2" borderId="0" xfId="0" applyFont="1" applyFill="1"/>
    <xf numFmtId="15" fontId="3" fillId="2" borderId="0" xfId="0" applyNumberFormat="1" applyFont="1" applyFill="1" applyAlignment="1">
      <alignment horizontal="left"/>
    </xf>
    <xf numFmtId="17" fontId="3" fillId="2" borderId="0" xfId="0" applyNumberFormat="1" applyFont="1" applyFill="1" applyAlignment="1">
      <alignment horizontal="left"/>
    </xf>
    <xf numFmtId="15" fontId="5" fillId="2" borderId="0" xfId="0" applyNumberFormat="1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0" borderId="0" xfId="0" applyFont="1"/>
    <xf numFmtId="14" fontId="0" fillId="0" borderId="0" xfId="0" applyNumberFormat="1"/>
    <xf numFmtId="0" fontId="9" fillId="0" borderId="0" xfId="0" applyFont="1"/>
    <xf numFmtId="14" fontId="9" fillId="2" borderId="0" xfId="0" applyNumberFormat="1" applyFont="1" applyFill="1"/>
    <xf numFmtId="0" fontId="9" fillId="2" borderId="0" xfId="0" applyFont="1" applyFill="1"/>
    <xf numFmtId="165" fontId="9" fillId="2" borderId="0" xfId="2" applyNumberFormat="1" applyFont="1" applyFill="1"/>
    <xf numFmtId="164" fontId="9" fillId="2" borderId="0" xfId="0" applyNumberFormat="1" applyFont="1" applyFill="1"/>
    <xf numFmtId="165" fontId="9" fillId="2" borderId="0" xfId="2" applyNumberFormat="1" applyFont="1" applyFill="1" applyBorder="1"/>
    <xf numFmtId="49" fontId="6" fillId="3" borderId="0" xfId="0" applyNumberFormat="1" applyFont="1" applyFill="1" applyAlignment="1">
      <alignment horizontal="center" vertical="center" wrapText="1"/>
    </xf>
    <xf numFmtId="165" fontId="6" fillId="3" borderId="0" xfId="2" applyNumberFormat="1" applyFont="1" applyFill="1" applyBorder="1" applyAlignment="1">
      <alignment horizontal="center" vertical="center" wrapText="1"/>
    </xf>
    <xf numFmtId="20" fontId="6" fillId="3" borderId="0" xfId="0" applyNumberFormat="1" applyFont="1" applyFill="1" applyAlignment="1">
      <alignment horizontal="center" vertical="center" wrapText="1"/>
    </xf>
    <xf numFmtId="15" fontId="0" fillId="0" borderId="0" xfId="0" applyNumberFormat="1"/>
    <xf numFmtId="0" fontId="0" fillId="0" borderId="0" xfId="0" applyAlignment="1">
      <alignment horizontal="left"/>
    </xf>
    <xf numFmtId="165" fontId="0" fillId="0" borderId="0" xfId="2" applyNumberFormat="1" applyFont="1" applyFill="1" applyBorder="1"/>
    <xf numFmtId="167" fontId="7" fillId="0" borderId="0" xfId="0" applyNumberFormat="1" applyFont="1" applyAlignment="1">
      <alignment horizontal="left" vertical="center"/>
    </xf>
    <xf numFmtId="165" fontId="0" fillId="0" borderId="0" xfId="2" applyNumberFormat="1" applyFont="1" applyFill="1" applyBorder="1" applyAlignment="1"/>
    <xf numFmtId="15" fontId="8" fillId="0" borderId="0" xfId="0" applyNumberFormat="1" applyFont="1"/>
    <xf numFmtId="0" fontId="8" fillId="0" borderId="0" xfId="0" applyFont="1"/>
    <xf numFmtId="165" fontId="8" fillId="0" borderId="0" xfId="2" applyNumberFormat="1" applyFont="1" applyFill="1" applyBorder="1"/>
    <xf numFmtId="165" fontId="7" fillId="0" borderId="0" xfId="2" applyNumberFormat="1" applyFont="1" applyFill="1" applyBorder="1" applyAlignment="1">
      <alignment vertical="center"/>
    </xf>
    <xf numFmtId="165" fontId="0" fillId="0" borderId="0" xfId="2" applyNumberFormat="1" applyFont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7" fontId="9" fillId="2" borderId="0" xfId="3" applyNumberFormat="1" applyFont="1" applyFill="1" applyBorder="1" applyAlignment="1">
      <alignment horizontal="center" vertical="center"/>
    </xf>
    <xf numFmtId="15" fontId="9" fillId="2" borderId="0" xfId="0" applyNumberFormat="1" applyFont="1" applyFill="1" applyAlignment="1">
      <alignment vertical="center"/>
    </xf>
    <xf numFmtId="166" fontId="9" fillId="2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" fontId="9" fillId="2" borderId="0" xfId="0" applyNumberFormat="1" applyFont="1" applyFill="1"/>
    <xf numFmtId="43" fontId="9" fillId="2" borderId="0" xfId="0" applyNumberFormat="1" applyFont="1" applyFill="1"/>
    <xf numFmtId="17" fontId="9" fillId="2" borderId="0" xfId="0" applyNumberFormat="1" applyFont="1" applyFill="1"/>
    <xf numFmtId="17" fontId="9" fillId="2" borderId="0" xfId="0" applyNumberFormat="1" applyFont="1" applyFill="1" applyAlignment="1">
      <alignment horizontal="left"/>
    </xf>
    <xf numFmtId="15" fontId="10" fillId="2" borderId="0" xfId="0" applyNumberFormat="1" applyFont="1" applyFill="1"/>
    <xf numFmtId="0" fontId="9" fillId="2" borderId="0" xfId="0" applyFont="1" applyFill="1" applyAlignment="1">
      <alignment horizontal="left"/>
    </xf>
    <xf numFmtId="15" fontId="9" fillId="2" borderId="0" xfId="0" applyNumberFormat="1" applyFont="1" applyFill="1" applyAlignment="1">
      <alignment horizontal="left"/>
    </xf>
    <xf numFmtId="15" fontId="7" fillId="2" borderId="0" xfId="0" applyNumberFormat="1" applyFont="1" applyFill="1"/>
    <xf numFmtId="165" fontId="9" fillId="2" borderId="0" xfId="0" applyNumberFormat="1" applyFont="1" applyFill="1"/>
    <xf numFmtId="4" fontId="9" fillId="2" borderId="0" xfId="0" applyNumberFormat="1" applyFont="1" applyFill="1"/>
    <xf numFmtId="164" fontId="2" fillId="2" borderId="0" xfId="0" applyNumberFormat="1" applyFont="1" applyFill="1" applyAlignment="1">
      <alignment wrapText="1"/>
    </xf>
    <xf numFmtId="165" fontId="2" fillId="2" borderId="0" xfId="2" applyNumberFormat="1" applyFont="1" applyFill="1" applyBorder="1" applyAlignment="1">
      <alignment wrapText="1"/>
    </xf>
    <xf numFmtId="165" fontId="2" fillId="2" borderId="0" xfId="2" applyNumberFormat="1" applyFont="1" applyFill="1" applyBorder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15" fontId="9" fillId="0" borderId="0" xfId="1" applyNumberFormat="1" applyFont="1"/>
    <xf numFmtId="0" fontId="9" fillId="0" borderId="0" xfId="1" applyFont="1"/>
    <xf numFmtId="165" fontId="9" fillId="0" borderId="0" xfId="2" applyNumberFormat="1" applyFont="1" applyFill="1" applyBorder="1"/>
  </cellXfs>
  <cellStyles count="4">
    <cellStyle name="Comma 2" xfId="2" xr:uid="{69EFA9BF-3DEC-42E6-889E-30E193F43E79}"/>
    <cellStyle name="Normal" xfId="0" builtinId="0"/>
    <cellStyle name="Normal 2" xfId="1" xr:uid="{A2C85D3D-F6A7-4869-B7EE-639BEF7E3CA0}"/>
    <cellStyle name="Percent 2" xfId="3" xr:uid="{325D4E49-2F3A-4613-A82A-1245F8325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603250</xdr:colOff>
      <xdr:row>1</xdr:row>
      <xdr:rowOff>95250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D14F7C-042B-4CE3-B52D-567EAD5405C3}"/>
            </a:ext>
          </a:extLst>
        </xdr:cNvPr>
        <xdr:cNvSpPr/>
      </xdr:nvSpPr>
      <xdr:spPr>
        <a:xfrm>
          <a:off x="11628120" y="182880"/>
          <a:ext cx="603250" cy="95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7</xdr:col>
      <xdr:colOff>603250</xdr:colOff>
      <xdr:row>1</xdr:row>
      <xdr:rowOff>95250</xdr:rowOff>
    </xdr:to>
    <xdr:sp macro="" textlink="">
      <xdr:nvSpPr>
        <xdr:cNvPr id="3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82990-1A43-43B4-8313-AE8213A76ACD}"/>
            </a:ext>
          </a:extLst>
        </xdr:cNvPr>
        <xdr:cNvSpPr/>
      </xdr:nvSpPr>
      <xdr:spPr>
        <a:xfrm>
          <a:off x="11628120" y="182880"/>
          <a:ext cx="603250" cy="95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603250</xdr:colOff>
      <xdr:row>0</xdr:row>
      <xdr:rowOff>95250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D1983E-0127-44E3-A353-BE925D79F7D3}"/>
            </a:ext>
          </a:extLst>
        </xdr:cNvPr>
        <xdr:cNvSpPr/>
      </xdr:nvSpPr>
      <xdr:spPr>
        <a:xfrm>
          <a:off x="10584180" y="0"/>
          <a:ext cx="580390" cy="95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603250</xdr:colOff>
      <xdr:row>0</xdr:row>
      <xdr:rowOff>95250</xdr:rowOff>
    </xdr:to>
    <xdr:sp macro="" textlink="">
      <xdr:nvSpPr>
        <xdr:cNvPr id="3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1F0ED1-98C1-4656-AB78-632233F1D441}"/>
            </a:ext>
          </a:extLst>
        </xdr:cNvPr>
        <xdr:cNvSpPr/>
      </xdr:nvSpPr>
      <xdr:spPr>
        <a:xfrm>
          <a:off x="10584180" y="0"/>
          <a:ext cx="580390" cy="95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603250</xdr:colOff>
      <xdr:row>0</xdr:row>
      <xdr:rowOff>58305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D8055-EE43-4669-89D1-8DB958463013}"/>
            </a:ext>
          </a:extLst>
        </xdr:cNvPr>
        <xdr:cNvSpPr/>
      </xdr:nvSpPr>
      <xdr:spPr>
        <a:xfrm>
          <a:off x="6408420" y="0"/>
          <a:ext cx="603250" cy="5830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603250</xdr:colOff>
      <xdr:row>0</xdr:row>
      <xdr:rowOff>58305</xdr:rowOff>
    </xdr:to>
    <xdr:sp macro="" textlink="">
      <xdr:nvSpPr>
        <xdr:cNvPr id="3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BEF625-DF4B-4BC3-8858-51CB25A7FD9A}"/>
            </a:ext>
          </a:extLst>
        </xdr:cNvPr>
        <xdr:cNvSpPr/>
      </xdr:nvSpPr>
      <xdr:spPr>
        <a:xfrm>
          <a:off x="6408420" y="0"/>
          <a:ext cx="603250" cy="5830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942D-4E09-446B-82C0-540415AA564C}">
  <dimension ref="A1:N223"/>
  <sheetViews>
    <sheetView showGridLines="0" zoomScale="70" zoomScaleNormal="70" workbookViewId="0">
      <selection activeCell="L2" sqref="L2"/>
    </sheetView>
  </sheetViews>
  <sheetFormatPr defaultRowHeight="13.8" x14ac:dyDescent="0.25"/>
  <cols>
    <col min="1" max="1" width="10.296875" bestFit="1" customWidth="1"/>
    <col min="2" max="2" width="15.69921875" bestFit="1" customWidth="1"/>
    <col min="3" max="3" width="63.8984375" bestFit="1" customWidth="1"/>
    <col min="4" max="5" width="11.69921875" bestFit="1" customWidth="1"/>
    <col min="6" max="6" width="9.09765625" bestFit="1" customWidth="1"/>
    <col min="7" max="7" width="11.69921875" bestFit="1" customWidth="1"/>
    <col min="8" max="8" width="11.09765625" bestFit="1" customWidth="1"/>
    <col min="9" max="9" width="9.69921875" customWidth="1"/>
    <col min="10" max="10" width="15" bestFit="1" customWidth="1"/>
    <col min="11" max="11" width="15.5" bestFit="1" customWidth="1"/>
    <col min="12" max="12" width="11.19921875" bestFit="1" customWidth="1"/>
    <col min="14" max="14" width="10.3984375" bestFit="1" customWidth="1"/>
  </cols>
  <sheetData>
    <row r="1" spans="1:14" ht="26.4" x14ac:dyDescent="0.25">
      <c r="A1" s="17" t="s">
        <v>0</v>
      </c>
      <c r="B1" s="17" t="s">
        <v>16</v>
      </c>
      <c r="C1" s="17" t="s">
        <v>17</v>
      </c>
      <c r="D1" s="18" t="s">
        <v>18</v>
      </c>
      <c r="E1" s="18" t="s">
        <v>19</v>
      </c>
      <c r="F1" s="18" t="s">
        <v>20</v>
      </c>
      <c r="G1" s="18" t="s">
        <v>21</v>
      </c>
      <c r="H1" s="18" t="s">
        <v>22</v>
      </c>
      <c r="I1" s="18" t="s">
        <v>23</v>
      </c>
      <c r="J1" s="19" t="s">
        <v>294</v>
      </c>
      <c r="K1" s="18" t="s">
        <v>423</v>
      </c>
      <c r="L1" s="18" t="s">
        <v>424</v>
      </c>
    </row>
    <row r="2" spans="1:14" x14ac:dyDescent="0.25">
      <c r="A2" s="20">
        <v>46094</v>
      </c>
      <c r="B2" t="s">
        <v>24</v>
      </c>
      <c r="C2" s="21" t="s">
        <v>25</v>
      </c>
      <c r="D2" s="22">
        <v>67200</v>
      </c>
      <c r="E2" s="22">
        <f t="shared" ref="E2:E6" si="0">D2</f>
        <v>67200</v>
      </c>
      <c r="F2" s="22">
        <f t="shared" ref="F2:F6" si="1">E2*0.18</f>
        <v>12096</v>
      </c>
      <c r="G2" s="22">
        <f t="shared" ref="G2:G6" si="2">SUM(E2:F2)</f>
        <v>79296</v>
      </c>
      <c r="H2" s="22">
        <f>G2-(E2*0.02)</f>
        <v>77952</v>
      </c>
      <c r="I2" s="22">
        <v>45</v>
      </c>
      <c r="J2" s="23">
        <f t="shared" ref="J2:J6" si="3">A2+I2</f>
        <v>46139</v>
      </c>
      <c r="K2" s="23">
        <f>+A2+30</f>
        <v>46124</v>
      </c>
      <c r="L2" t="s">
        <v>425</v>
      </c>
      <c r="N2" s="10"/>
    </row>
    <row r="3" spans="1:14" x14ac:dyDescent="0.25">
      <c r="A3" s="20">
        <v>46083</v>
      </c>
      <c r="B3" t="s">
        <v>26</v>
      </c>
      <c r="C3" t="s">
        <v>27</v>
      </c>
      <c r="D3" s="22">
        <v>34400</v>
      </c>
      <c r="E3" s="22">
        <f t="shared" si="0"/>
        <v>34400</v>
      </c>
      <c r="F3" s="22">
        <f t="shared" si="1"/>
        <v>6192</v>
      </c>
      <c r="G3" s="22">
        <f t="shared" si="2"/>
        <v>40592</v>
      </c>
      <c r="H3" s="22">
        <f>G3-(E3*0.02)</f>
        <v>39904</v>
      </c>
      <c r="I3" s="22">
        <v>49</v>
      </c>
      <c r="J3" s="23">
        <f t="shared" si="3"/>
        <v>46132</v>
      </c>
      <c r="K3" s="23">
        <f t="shared" ref="K3:K6" si="4">+A3+30</f>
        <v>46113</v>
      </c>
      <c r="L3" t="s">
        <v>425</v>
      </c>
    </row>
    <row r="4" spans="1:14" x14ac:dyDescent="0.25">
      <c r="A4" s="20">
        <v>45862</v>
      </c>
      <c r="B4" t="s">
        <v>28</v>
      </c>
      <c r="C4" t="s">
        <v>29</v>
      </c>
      <c r="D4" s="22">
        <v>184100</v>
      </c>
      <c r="E4" s="22">
        <f>D4</f>
        <v>184100</v>
      </c>
      <c r="F4" s="22">
        <f>E4*0.18</f>
        <v>33138</v>
      </c>
      <c r="G4" s="22">
        <f>SUM(E4:F4)</f>
        <v>217238</v>
      </c>
      <c r="H4" s="22">
        <f>G4-(E4*0.02)</f>
        <v>213556</v>
      </c>
      <c r="I4" s="22">
        <v>135</v>
      </c>
      <c r="J4" s="23">
        <v>46142</v>
      </c>
      <c r="K4" s="23">
        <f t="shared" si="4"/>
        <v>45892</v>
      </c>
      <c r="L4" t="s">
        <v>425</v>
      </c>
    </row>
    <row r="5" spans="1:14" x14ac:dyDescent="0.25">
      <c r="A5" s="20">
        <v>46055</v>
      </c>
      <c r="B5" t="s">
        <v>30</v>
      </c>
      <c r="C5" t="s">
        <v>29</v>
      </c>
      <c r="D5" s="22">
        <v>475000</v>
      </c>
      <c r="E5" s="22">
        <f t="shared" si="0"/>
        <v>475000</v>
      </c>
      <c r="F5" s="22">
        <f t="shared" si="1"/>
        <v>85500</v>
      </c>
      <c r="G5" s="22">
        <f t="shared" si="2"/>
        <v>560500</v>
      </c>
      <c r="H5" s="22">
        <f>G5-(E5*0.1)</f>
        <v>513000</v>
      </c>
      <c r="I5" s="22">
        <v>75</v>
      </c>
      <c r="J5" s="23">
        <f t="shared" si="3"/>
        <v>46130</v>
      </c>
      <c r="K5" s="23">
        <f t="shared" si="4"/>
        <v>46085</v>
      </c>
      <c r="L5" t="s">
        <v>425</v>
      </c>
    </row>
    <row r="6" spans="1:14" x14ac:dyDescent="0.25">
      <c r="A6" s="20">
        <v>46090</v>
      </c>
      <c r="B6" t="s">
        <v>31</v>
      </c>
      <c r="C6" t="s">
        <v>29</v>
      </c>
      <c r="D6" s="22">
        <v>947625</v>
      </c>
      <c r="E6" s="22">
        <f t="shared" si="0"/>
        <v>947625</v>
      </c>
      <c r="F6" s="22">
        <f t="shared" si="1"/>
        <v>170572.5</v>
      </c>
      <c r="G6" s="22">
        <f t="shared" si="2"/>
        <v>1118197.5</v>
      </c>
      <c r="H6" s="22">
        <f>G6-(E6*0.1)</f>
        <v>1023435</v>
      </c>
      <c r="I6" s="22">
        <v>65</v>
      </c>
      <c r="J6" s="23">
        <f t="shared" si="3"/>
        <v>46155</v>
      </c>
      <c r="K6" s="23">
        <f t="shared" si="4"/>
        <v>46120</v>
      </c>
      <c r="L6" t="s">
        <v>425</v>
      </c>
    </row>
    <row r="7" spans="1:14" x14ac:dyDescent="0.25">
      <c r="A7" s="20">
        <v>46112</v>
      </c>
      <c r="B7" t="s">
        <v>218</v>
      </c>
      <c r="C7" t="s">
        <v>219</v>
      </c>
      <c r="D7" s="22">
        <f>444134*93.22</f>
        <v>41402171.479999997</v>
      </c>
      <c r="E7" s="22">
        <f t="shared" ref="E7:E17" si="5">D7</f>
        <v>41402171.479999997</v>
      </c>
      <c r="F7" s="22"/>
      <c r="G7" s="22">
        <f t="shared" ref="G7:G38" si="6">SUM(E7:F7)</f>
        <v>41402171.479999997</v>
      </c>
      <c r="H7" s="28">
        <f>G7</f>
        <v>41402171.479999997</v>
      </c>
      <c r="I7" s="22">
        <v>65</v>
      </c>
      <c r="J7" s="23">
        <f t="shared" ref="J7:J38" si="7">A7+I7</f>
        <v>46177</v>
      </c>
      <c r="K7" s="23">
        <f t="shared" ref="K7:K70" si="8">+A7+30</f>
        <v>46142</v>
      </c>
      <c r="L7" t="s">
        <v>426</v>
      </c>
    </row>
    <row r="8" spans="1:14" x14ac:dyDescent="0.25">
      <c r="A8" s="20">
        <v>46091</v>
      </c>
      <c r="B8" t="s">
        <v>32</v>
      </c>
      <c r="C8" s="21" t="s">
        <v>33</v>
      </c>
      <c r="D8" s="22">
        <v>40000</v>
      </c>
      <c r="E8" s="22">
        <f t="shared" si="5"/>
        <v>40000</v>
      </c>
      <c r="F8" s="22">
        <f t="shared" ref="F8:F17" si="9">E8*0.18</f>
        <v>7200</v>
      </c>
      <c r="G8" s="22">
        <f t="shared" si="6"/>
        <v>47200</v>
      </c>
      <c r="H8" s="22">
        <f>G8-(E8*0.02)</f>
        <v>46400</v>
      </c>
      <c r="I8" s="22">
        <v>45</v>
      </c>
      <c r="J8" s="23">
        <f t="shared" si="7"/>
        <v>46136</v>
      </c>
      <c r="K8" s="23">
        <f t="shared" si="8"/>
        <v>46121</v>
      </c>
      <c r="L8" t="s">
        <v>426</v>
      </c>
    </row>
    <row r="9" spans="1:14" x14ac:dyDescent="0.25">
      <c r="A9" s="20">
        <v>46122</v>
      </c>
      <c r="B9" t="s">
        <v>32</v>
      </c>
      <c r="C9" s="21" t="s">
        <v>33</v>
      </c>
      <c r="D9" s="22">
        <v>40000</v>
      </c>
      <c r="E9" s="22">
        <f t="shared" si="5"/>
        <v>40000</v>
      </c>
      <c r="F9" s="22">
        <f t="shared" si="9"/>
        <v>7200</v>
      </c>
      <c r="G9" s="22">
        <f t="shared" si="6"/>
        <v>47200</v>
      </c>
      <c r="H9" s="22">
        <f>G9-(E9*0.02)</f>
        <v>46400</v>
      </c>
      <c r="I9" s="22">
        <v>45</v>
      </c>
      <c r="J9" s="23">
        <f t="shared" si="7"/>
        <v>46167</v>
      </c>
      <c r="K9" s="23">
        <f t="shared" si="8"/>
        <v>46152</v>
      </c>
      <c r="L9" t="s">
        <v>426</v>
      </c>
    </row>
    <row r="10" spans="1:14" x14ac:dyDescent="0.25">
      <c r="A10" s="20">
        <v>46053</v>
      </c>
      <c r="B10" t="s">
        <v>34</v>
      </c>
      <c r="C10" t="s">
        <v>35</v>
      </c>
      <c r="D10" s="22">
        <v>105000</v>
      </c>
      <c r="E10" s="22">
        <f t="shared" si="5"/>
        <v>105000</v>
      </c>
      <c r="F10" s="22">
        <f t="shared" si="9"/>
        <v>18900</v>
      </c>
      <c r="G10" s="22">
        <f t="shared" si="6"/>
        <v>123900</v>
      </c>
      <c r="H10" s="22">
        <f>G10-(E10*0.02)</f>
        <v>121800</v>
      </c>
      <c r="I10" s="22">
        <v>77</v>
      </c>
      <c r="J10" s="23">
        <f t="shared" si="7"/>
        <v>46130</v>
      </c>
      <c r="K10" s="23">
        <f t="shared" si="8"/>
        <v>46083</v>
      </c>
      <c r="L10" t="s">
        <v>426</v>
      </c>
    </row>
    <row r="11" spans="1:14" x14ac:dyDescent="0.25">
      <c r="A11" s="20">
        <v>46081</v>
      </c>
      <c r="B11" t="s">
        <v>36</v>
      </c>
      <c r="C11" t="s">
        <v>35</v>
      </c>
      <c r="D11" s="22">
        <v>105000</v>
      </c>
      <c r="E11" s="22">
        <f t="shared" si="5"/>
        <v>105000</v>
      </c>
      <c r="F11" s="22">
        <f t="shared" si="9"/>
        <v>18900</v>
      </c>
      <c r="G11" s="22">
        <f t="shared" si="6"/>
        <v>123900</v>
      </c>
      <c r="H11" s="22">
        <f>G11-(E11*0.02)</f>
        <v>121800</v>
      </c>
      <c r="I11" s="24">
        <v>90</v>
      </c>
      <c r="J11" s="23">
        <f t="shared" si="7"/>
        <v>46171</v>
      </c>
      <c r="K11" s="23">
        <f t="shared" si="8"/>
        <v>46111</v>
      </c>
      <c r="L11" t="s">
        <v>426</v>
      </c>
    </row>
    <row r="12" spans="1:14" x14ac:dyDescent="0.25">
      <c r="A12" s="20">
        <v>46107</v>
      </c>
      <c r="B12" t="s">
        <v>37</v>
      </c>
      <c r="C12" t="s">
        <v>35</v>
      </c>
      <c r="D12" s="22">
        <v>105000</v>
      </c>
      <c r="E12" s="22">
        <f t="shared" si="5"/>
        <v>105000</v>
      </c>
      <c r="F12" s="22">
        <f t="shared" si="9"/>
        <v>18900</v>
      </c>
      <c r="G12" s="22">
        <f t="shared" si="6"/>
        <v>123900</v>
      </c>
      <c r="H12" s="22">
        <f>G12-(E12*0.02)</f>
        <v>121800</v>
      </c>
      <c r="I12" s="24">
        <v>35</v>
      </c>
      <c r="J12" s="23">
        <f t="shared" si="7"/>
        <v>46142</v>
      </c>
      <c r="K12" s="23">
        <f t="shared" si="8"/>
        <v>46137</v>
      </c>
      <c r="L12" t="s">
        <v>426</v>
      </c>
    </row>
    <row r="13" spans="1:14" x14ac:dyDescent="0.25">
      <c r="A13" s="20">
        <v>46127</v>
      </c>
      <c r="B13" t="s">
        <v>38</v>
      </c>
      <c r="C13" s="21" t="s">
        <v>39</v>
      </c>
      <c r="D13" s="22">
        <v>170700</v>
      </c>
      <c r="E13" s="22">
        <f t="shared" si="5"/>
        <v>170700</v>
      </c>
      <c r="F13" s="22">
        <f t="shared" si="9"/>
        <v>30726</v>
      </c>
      <c r="G13" s="22">
        <f t="shared" si="6"/>
        <v>201426</v>
      </c>
      <c r="H13" s="22">
        <f>G13-(E13*0.1)</f>
        <v>184356</v>
      </c>
      <c r="I13" s="22">
        <v>30</v>
      </c>
      <c r="J13" s="23">
        <f t="shared" si="7"/>
        <v>46157</v>
      </c>
      <c r="K13" s="23">
        <f t="shared" si="8"/>
        <v>46157</v>
      </c>
      <c r="L13" t="s">
        <v>425</v>
      </c>
    </row>
    <row r="14" spans="1:14" x14ac:dyDescent="0.25">
      <c r="A14" s="20">
        <v>45964</v>
      </c>
      <c r="B14" t="s">
        <v>40</v>
      </c>
      <c r="C14" t="s">
        <v>41</v>
      </c>
      <c r="D14" s="22">
        <v>30000</v>
      </c>
      <c r="E14" s="22">
        <f t="shared" si="5"/>
        <v>30000</v>
      </c>
      <c r="F14" s="22">
        <f t="shared" si="9"/>
        <v>5400</v>
      </c>
      <c r="G14" s="22">
        <f t="shared" si="6"/>
        <v>35400</v>
      </c>
      <c r="H14" s="22">
        <f>G14-(E14*0.02)</f>
        <v>34800</v>
      </c>
      <c r="I14" s="22">
        <v>175</v>
      </c>
      <c r="J14" s="23">
        <f t="shared" si="7"/>
        <v>46139</v>
      </c>
      <c r="K14" s="23">
        <f t="shared" si="8"/>
        <v>45994</v>
      </c>
      <c r="L14" t="s">
        <v>425</v>
      </c>
    </row>
    <row r="15" spans="1:14" x14ac:dyDescent="0.25">
      <c r="A15" s="20">
        <v>46023</v>
      </c>
      <c r="B15" t="s">
        <v>42</v>
      </c>
      <c r="C15" t="s">
        <v>41</v>
      </c>
      <c r="D15" s="22">
        <v>30000</v>
      </c>
      <c r="E15" s="22">
        <f t="shared" si="5"/>
        <v>30000</v>
      </c>
      <c r="F15" s="22">
        <f t="shared" si="9"/>
        <v>5400</v>
      </c>
      <c r="G15" s="22">
        <f t="shared" si="6"/>
        <v>35400</v>
      </c>
      <c r="H15" s="22">
        <f>G15-(E15*0.02)</f>
        <v>34800</v>
      </c>
      <c r="I15" s="22">
        <v>107</v>
      </c>
      <c r="J15" s="23">
        <f t="shared" si="7"/>
        <v>46130</v>
      </c>
      <c r="K15" s="23">
        <f t="shared" si="8"/>
        <v>46053</v>
      </c>
      <c r="L15" t="s">
        <v>425</v>
      </c>
    </row>
    <row r="16" spans="1:14" x14ac:dyDescent="0.25">
      <c r="A16" s="20">
        <v>46054</v>
      </c>
      <c r="B16" t="s">
        <v>43</v>
      </c>
      <c r="C16" t="s">
        <v>41</v>
      </c>
      <c r="D16" s="22">
        <v>30000</v>
      </c>
      <c r="E16" s="22">
        <f t="shared" si="5"/>
        <v>30000</v>
      </c>
      <c r="F16" s="22">
        <f t="shared" si="9"/>
        <v>5400</v>
      </c>
      <c r="G16" s="22">
        <f t="shared" si="6"/>
        <v>35400</v>
      </c>
      <c r="H16" s="22">
        <f>G16-(E16*0.02)</f>
        <v>34800</v>
      </c>
      <c r="I16" s="24">
        <v>90</v>
      </c>
      <c r="J16" s="23">
        <f t="shared" si="7"/>
        <v>46144</v>
      </c>
      <c r="K16" s="23">
        <f t="shared" si="8"/>
        <v>46084</v>
      </c>
      <c r="L16" t="s">
        <v>425</v>
      </c>
    </row>
    <row r="17" spans="1:12" x14ac:dyDescent="0.25">
      <c r="A17" s="20">
        <v>46083</v>
      </c>
      <c r="B17" t="s">
        <v>44</v>
      </c>
      <c r="C17" t="s">
        <v>45</v>
      </c>
      <c r="D17" s="22">
        <v>89333</v>
      </c>
      <c r="E17" s="22">
        <f t="shared" si="5"/>
        <v>89333</v>
      </c>
      <c r="F17" s="22">
        <f t="shared" si="9"/>
        <v>16079.939999999999</v>
      </c>
      <c r="G17" s="22">
        <f t="shared" si="6"/>
        <v>105412.94</v>
      </c>
      <c r="H17" s="22">
        <f>G17-(E17*0.02)</f>
        <v>103626.28</v>
      </c>
      <c r="I17" s="22">
        <v>46</v>
      </c>
      <c r="J17" s="23">
        <f t="shared" si="7"/>
        <v>46129</v>
      </c>
      <c r="K17" s="23">
        <f t="shared" si="8"/>
        <v>46113</v>
      </c>
      <c r="L17" t="s">
        <v>425</v>
      </c>
    </row>
    <row r="18" spans="1:12" x14ac:dyDescent="0.25">
      <c r="A18" s="20">
        <v>45964</v>
      </c>
      <c r="B18" t="s">
        <v>46</v>
      </c>
      <c r="C18" t="s">
        <v>47</v>
      </c>
      <c r="D18" s="22"/>
      <c r="E18" s="22"/>
      <c r="F18" s="22">
        <v>3600</v>
      </c>
      <c r="G18" s="22">
        <f t="shared" si="6"/>
        <v>3600</v>
      </c>
      <c r="H18" s="22">
        <f>G18-(E18*0.1)</f>
        <v>3600</v>
      </c>
      <c r="I18" s="22">
        <v>180</v>
      </c>
      <c r="J18" s="23">
        <f t="shared" si="7"/>
        <v>46144</v>
      </c>
      <c r="K18" s="23">
        <f t="shared" si="8"/>
        <v>45994</v>
      </c>
      <c r="L18" t="s">
        <v>425</v>
      </c>
    </row>
    <row r="19" spans="1:12" x14ac:dyDescent="0.25">
      <c r="A19" s="20">
        <v>46083</v>
      </c>
      <c r="B19" t="s">
        <v>48</v>
      </c>
      <c r="C19" t="s">
        <v>49</v>
      </c>
      <c r="D19" s="22">
        <v>8334</v>
      </c>
      <c r="E19" s="22">
        <f t="shared" ref="E19:E50" si="10">D19</f>
        <v>8334</v>
      </c>
      <c r="F19" s="22">
        <f t="shared" ref="F19:F50" si="11">E19*0.18</f>
        <v>1500.12</v>
      </c>
      <c r="G19" s="22">
        <f t="shared" si="6"/>
        <v>9834.119999999999</v>
      </c>
      <c r="H19" s="22">
        <f>G19-(E19*0.02)</f>
        <v>9667.4399999999987</v>
      </c>
      <c r="I19" s="22">
        <v>49</v>
      </c>
      <c r="J19" s="23">
        <f t="shared" si="7"/>
        <v>46132</v>
      </c>
      <c r="K19" s="23">
        <f t="shared" si="8"/>
        <v>46113</v>
      </c>
      <c r="L19" t="s">
        <v>425</v>
      </c>
    </row>
    <row r="20" spans="1:12" x14ac:dyDescent="0.25">
      <c r="A20" s="20">
        <v>46083</v>
      </c>
      <c r="B20" t="s">
        <v>88</v>
      </c>
      <c r="C20" t="s">
        <v>49</v>
      </c>
      <c r="D20" s="22">
        <v>8334</v>
      </c>
      <c r="E20" s="22">
        <f t="shared" si="10"/>
        <v>8334</v>
      </c>
      <c r="F20" s="22">
        <f t="shared" si="11"/>
        <v>1500.12</v>
      </c>
      <c r="G20" s="22">
        <f t="shared" si="6"/>
        <v>9834.119999999999</v>
      </c>
      <c r="H20" s="22">
        <f>G20-(E20*0.02)</f>
        <v>9667.4399999999987</v>
      </c>
      <c r="I20" s="22">
        <v>49</v>
      </c>
      <c r="J20" s="23">
        <f t="shared" si="7"/>
        <v>46132</v>
      </c>
      <c r="K20" s="23">
        <f t="shared" si="8"/>
        <v>46113</v>
      </c>
      <c r="L20" t="s">
        <v>425</v>
      </c>
    </row>
    <row r="21" spans="1:12" x14ac:dyDescent="0.25">
      <c r="A21" s="25">
        <v>46017</v>
      </c>
      <c r="B21" t="s">
        <v>89</v>
      </c>
      <c r="C21" s="26" t="s">
        <v>90</v>
      </c>
      <c r="D21" s="27">
        <v>20000</v>
      </c>
      <c r="E21" s="27">
        <f t="shared" si="10"/>
        <v>20000</v>
      </c>
      <c r="F21" s="27">
        <f t="shared" si="11"/>
        <v>3600</v>
      </c>
      <c r="G21" s="27">
        <f t="shared" si="6"/>
        <v>23600</v>
      </c>
      <c r="H21" s="27">
        <f>G21-(E21*0.02)</f>
        <v>23200</v>
      </c>
      <c r="I21" s="27">
        <v>120</v>
      </c>
      <c r="J21" s="23">
        <f t="shared" si="7"/>
        <v>46137</v>
      </c>
      <c r="K21" s="23">
        <f t="shared" si="8"/>
        <v>46047</v>
      </c>
      <c r="L21" t="s">
        <v>425</v>
      </c>
    </row>
    <row r="22" spans="1:12" x14ac:dyDescent="0.25">
      <c r="A22" s="20">
        <v>46023</v>
      </c>
      <c r="B22" t="s">
        <v>91</v>
      </c>
      <c r="C22" t="s">
        <v>92</v>
      </c>
      <c r="D22" s="22">
        <v>16000</v>
      </c>
      <c r="E22" s="22">
        <f t="shared" si="10"/>
        <v>16000</v>
      </c>
      <c r="F22" s="22">
        <f t="shared" si="11"/>
        <v>2880</v>
      </c>
      <c r="G22" s="22">
        <f t="shared" si="6"/>
        <v>18880</v>
      </c>
      <c r="H22" s="22">
        <f>G22-(E22*0.1)</f>
        <v>17280</v>
      </c>
      <c r="I22" s="22">
        <v>107</v>
      </c>
      <c r="J22" s="23">
        <f t="shared" si="7"/>
        <v>46130</v>
      </c>
      <c r="K22" s="23">
        <f t="shared" si="8"/>
        <v>46053</v>
      </c>
      <c r="L22" t="s">
        <v>425</v>
      </c>
    </row>
    <row r="23" spans="1:12" x14ac:dyDescent="0.25">
      <c r="A23" s="20">
        <v>46055</v>
      </c>
      <c r="B23" t="s">
        <v>93</v>
      </c>
      <c r="C23" t="s">
        <v>92</v>
      </c>
      <c r="D23" s="22">
        <v>16000</v>
      </c>
      <c r="E23" s="22">
        <f t="shared" si="10"/>
        <v>16000</v>
      </c>
      <c r="F23" s="22">
        <f t="shared" si="11"/>
        <v>2880</v>
      </c>
      <c r="G23" s="22">
        <f t="shared" si="6"/>
        <v>18880</v>
      </c>
      <c r="H23" s="22">
        <f>G23-(E23*0.1)</f>
        <v>17280</v>
      </c>
      <c r="I23" s="22">
        <v>73</v>
      </c>
      <c r="J23" s="23">
        <f t="shared" si="7"/>
        <v>46128</v>
      </c>
      <c r="K23" s="23">
        <f t="shared" si="8"/>
        <v>46085</v>
      </c>
      <c r="L23" t="s">
        <v>425</v>
      </c>
    </row>
    <row r="24" spans="1:12" x14ac:dyDescent="0.25">
      <c r="A24" s="20">
        <v>46083</v>
      </c>
      <c r="B24" t="s">
        <v>94</v>
      </c>
      <c r="C24" t="s">
        <v>92</v>
      </c>
      <c r="D24" s="22">
        <v>16000</v>
      </c>
      <c r="E24" s="22">
        <f t="shared" si="10"/>
        <v>16000</v>
      </c>
      <c r="F24" s="22">
        <f t="shared" si="11"/>
        <v>2880</v>
      </c>
      <c r="G24" s="22">
        <f t="shared" si="6"/>
        <v>18880</v>
      </c>
      <c r="H24" s="22">
        <f>G24-(E24*0.1)</f>
        <v>17280</v>
      </c>
      <c r="I24" s="22">
        <v>46</v>
      </c>
      <c r="J24" s="23">
        <f t="shared" si="7"/>
        <v>46129</v>
      </c>
      <c r="K24" s="23">
        <f t="shared" si="8"/>
        <v>46113</v>
      </c>
      <c r="L24" t="s">
        <v>425</v>
      </c>
    </row>
    <row r="25" spans="1:12" x14ac:dyDescent="0.25">
      <c r="A25" s="20">
        <v>46083</v>
      </c>
      <c r="B25" t="s">
        <v>95</v>
      </c>
      <c r="C25" t="s">
        <v>96</v>
      </c>
      <c r="D25" s="22">
        <v>150000</v>
      </c>
      <c r="E25" s="22">
        <f t="shared" si="10"/>
        <v>150000</v>
      </c>
      <c r="F25" s="22">
        <f t="shared" si="11"/>
        <v>27000</v>
      </c>
      <c r="G25" s="22">
        <f t="shared" si="6"/>
        <v>177000</v>
      </c>
      <c r="H25" s="22">
        <f>G25-(E25*0.1)</f>
        <v>162000</v>
      </c>
      <c r="I25" s="22">
        <v>46</v>
      </c>
      <c r="J25" s="23">
        <f t="shared" si="7"/>
        <v>46129</v>
      </c>
      <c r="K25" s="23">
        <f t="shared" si="8"/>
        <v>46113</v>
      </c>
      <c r="L25" t="s">
        <v>425</v>
      </c>
    </row>
    <row r="26" spans="1:12" x14ac:dyDescent="0.25">
      <c r="A26" s="20">
        <v>46112</v>
      </c>
      <c r="B26" t="s">
        <v>97</v>
      </c>
      <c r="C26" t="s">
        <v>98</v>
      </c>
      <c r="D26" s="22">
        <v>105000</v>
      </c>
      <c r="E26" s="22">
        <f t="shared" si="10"/>
        <v>105000</v>
      </c>
      <c r="F26" s="22">
        <f t="shared" si="11"/>
        <v>18900</v>
      </c>
      <c r="G26" s="22">
        <f t="shared" si="6"/>
        <v>123900</v>
      </c>
      <c r="H26" s="22">
        <f t="shared" ref="H26:H35" si="12">G26-(E26*0.02)</f>
        <v>121800</v>
      </c>
      <c r="I26" s="22">
        <v>35</v>
      </c>
      <c r="J26" s="23">
        <f t="shared" si="7"/>
        <v>46147</v>
      </c>
      <c r="K26" s="23">
        <f t="shared" si="8"/>
        <v>46142</v>
      </c>
      <c r="L26" t="s">
        <v>425</v>
      </c>
    </row>
    <row r="27" spans="1:12" x14ac:dyDescent="0.25">
      <c r="A27" s="20">
        <v>46082</v>
      </c>
      <c r="B27" t="s">
        <v>99</v>
      </c>
      <c r="C27" t="s">
        <v>100</v>
      </c>
      <c r="D27" s="22">
        <v>29750</v>
      </c>
      <c r="E27" s="22">
        <f t="shared" si="10"/>
        <v>29750</v>
      </c>
      <c r="F27" s="22">
        <f t="shared" si="11"/>
        <v>5355</v>
      </c>
      <c r="G27" s="22">
        <f t="shared" si="6"/>
        <v>35105</v>
      </c>
      <c r="H27" s="22">
        <f t="shared" si="12"/>
        <v>34510</v>
      </c>
      <c r="I27" s="22">
        <v>60</v>
      </c>
      <c r="J27" s="23">
        <f t="shared" si="7"/>
        <v>46142</v>
      </c>
      <c r="K27" s="23">
        <f t="shared" si="8"/>
        <v>46112</v>
      </c>
      <c r="L27" t="s">
        <v>425</v>
      </c>
    </row>
    <row r="28" spans="1:12" x14ac:dyDescent="0.25">
      <c r="A28" s="20">
        <v>46087</v>
      </c>
      <c r="B28" t="s">
        <v>101</v>
      </c>
      <c r="C28" t="s">
        <v>102</v>
      </c>
      <c r="D28" s="22">
        <v>8334</v>
      </c>
      <c r="E28" s="22">
        <f t="shared" si="10"/>
        <v>8334</v>
      </c>
      <c r="F28" s="22">
        <f t="shared" si="11"/>
        <v>1500.12</v>
      </c>
      <c r="G28" s="22">
        <f t="shared" si="6"/>
        <v>9834.119999999999</v>
      </c>
      <c r="H28" s="22">
        <f t="shared" si="12"/>
        <v>9667.4399999999987</v>
      </c>
      <c r="I28" s="22">
        <v>46</v>
      </c>
      <c r="J28" s="23">
        <f t="shared" si="7"/>
        <v>46133</v>
      </c>
      <c r="K28" s="23">
        <f t="shared" si="8"/>
        <v>46117</v>
      </c>
      <c r="L28" t="s">
        <v>425</v>
      </c>
    </row>
    <row r="29" spans="1:12" x14ac:dyDescent="0.25">
      <c r="A29" s="20">
        <v>46087</v>
      </c>
      <c r="B29" t="s">
        <v>103</v>
      </c>
      <c r="C29" t="s">
        <v>102</v>
      </c>
      <c r="D29" s="22">
        <v>8334</v>
      </c>
      <c r="E29" s="22">
        <f t="shared" si="10"/>
        <v>8334</v>
      </c>
      <c r="F29" s="22">
        <f t="shared" si="11"/>
        <v>1500.12</v>
      </c>
      <c r="G29" s="22">
        <f t="shared" si="6"/>
        <v>9834.119999999999</v>
      </c>
      <c r="H29" s="22">
        <f t="shared" si="12"/>
        <v>9667.4399999999987</v>
      </c>
      <c r="I29" s="22">
        <v>45</v>
      </c>
      <c r="J29" s="23">
        <f t="shared" si="7"/>
        <v>46132</v>
      </c>
      <c r="K29" s="23">
        <f t="shared" si="8"/>
        <v>46117</v>
      </c>
      <c r="L29" t="s">
        <v>425</v>
      </c>
    </row>
    <row r="30" spans="1:12" x14ac:dyDescent="0.25">
      <c r="A30" s="20">
        <v>46055</v>
      </c>
      <c r="B30" t="s">
        <v>104</v>
      </c>
      <c r="C30" t="s">
        <v>105</v>
      </c>
      <c r="D30" s="22">
        <v>8334</v>
      </c>
      <c r="E30" s="22">
        <f t="shared" si="10"/>
        <v>8334</v>
      </c>
      <c r="F30" s="22">
        <f t="shared" si="11"/>
        <v>1500.12</v>
      </c>
      <c r="G30" s="22">
        <f t="shared" si="6"/>
        <v>9834.119999999999</v>
      </c>
      <c r="H30" s="22">
        <f t="shared" si="12"/>
        <v>9667.4399999999987</v>
      </c>
      <c r="I30" s="22">
        <v>73</v>
      </c>
      <c r="J30" s="23">
        <f t="shared" si="7"/>
        <v>46128</v>
      </c>
      <c r="K30" s="23">
        <f t="shared" si="8"/>
        <v>46085</v>
      </c>
      <c r="L30" t="s">
        <v>425</v>
      </c>
    </row>
    <row r="31" spans="1:12" x14ac:dyDescent="0.25">
      <c r="A31" s="20">
        <v>46087</v>
      </c>
      <c r="B31" t="s">
        <v>106</v>
      </c>
      <c r="C31" t="s">
        <v>105</v>
      </c>
      <c r="D31" s="22">
        <v>8334</v>
      </c>
      <c r="E31" s="22">
        <f t="shared" si="10"/>
        <v>8334</v>
      </c>
      <c r="F31" s="22">
        <f t="shared" si="11"/>
        <v>1500.12</v>
      </c>
      <c r="G31" s="22">
        <f t="shared" si="6"/>
        <v>9834.119999999999</v>
      </c>
      <c r="H31" s="22">
        <f t="shared" si="12"/>
        <v>9667.4399999999987</v>
      </c>
      <c r="I31" s="22">
        <v>46</v>
      </c>
      <c r="J31" s="23">
        <f t="shared" si="7"/>
        <v>46133</v>
      </c>
      <c r="K31" s="23">
        <f t="shared" si="8"/>
        <v>46117</v>
      </c>
      <c r="L31" t="s">
        <v>425</v>
      </c>
    </row>
    <row r="32" spans="1:12" x14ac:dyDescent="0.25">
      <c r="A32" s="20">
        <v>46087</v>
      </c>
      <c r="B32" t="s">
        <v>107</v>
      </c>
      <c r="C32" t="s">
        <v>105</v>
      </c>
      <c r="D32" s="22">
        <v>8334</v>
      </c>
      <c r="E32" s="22">
        <f t="shared" si="10"/>
        <v>8334</v>
      </c>
      <c r="F32" s="22">
        <f t="shared" si="11"/>
        <v>1500.12</v>
      </c>
      <c r="G32" s="22">
        <f t="shared" si="6"/>
        <v>9834.119999999999</v>
      </c>
      <c r="H32" s="22">
        <f t="shared" si="12"/>
        <v>9667.4399999999987</v>
      </c>
      <c r="I32" s="22">
        <v>45</v>
      </c>
      <c r="J32" s="23">
        <f t="shared" si="7"/>
        <v>46132</v>
      </c>
      <c r="K32" s="23">
        <f t="shared" si="8"/>
        <v>46117</v>
      </c>
      <c r="L32" t="s">
        <v>425</v>
      </c>
    </row>
    <row r="33" spans="1:12" x14ac:dyDescent="0.25">
      <c r="A33" s="20">
        <v>46083</v>
      </c>
      <c r="B33" t="s">
        <v>108</v>
      </c>
      <c r="C33" t="s">
        <v>109</v>
      </c>
      <c r="D33" s="22">
        <v>10000</v>
      </c>
      <c r="E33" s="22">
        <f t="shared" si="10"/>
        <v>10000</v>
      </c>
      <c r="F33" s="22">
        <f t="shared" si="11"/>
        <v>1800</v>
      </c>
      <c r="G33" s="22">
        <f t="shared" si="6"/>
        <v>11800</v>
      </c>
      <c r="H33" s="22">
        <f t="shared" si="12"/>
        <v>11600</v>
      </c>
      <c r="I33" s="22">
        <v>46</v>
      </c>
      <c r="J33" s="23">
        <f t="shared" si="7"/>
        <v>46129</v>
      </c>
      <c r="K33" s="23">
        <f t="shared" si="8"/>
        <v>46113</v>
      </c>
      <c r="L33" t="s">
        <v>425</v>
      </c>
    </row>
    <row r="34" spans="1:12" x14ac:dyDescent="0.25">
      <c r="A34" s="20">
        <v>46083</v>
      </c>
      <c r="B34" t="s">
        <v>110</v>
      </c>
      <c r="C34" t="s">
        <v>111</v>
      </c>
      <c r="D34" s="22">
        <v>21000</v>
      </c>
      <c r="E34" s="22">
        <f t="shared" si="10"/>
        <v>21000</v>
      </c>
      <c r="F34" s="22">
        <f t="shared" si="11"/>
        <v>3780</v>
      </c>
      <c r="G34" s="22">
        <f t="shared" si="6"/>
        <v>24780</v>
      </c>
      <c r="H34" s="22">
        <f t="shared" si="12"/>
        <v>24360</v>
      </c>
      <c r="I34" s="22">
        <v>46</v>
      </c>
      <c r="J34" s="23">
        <f t="shared" si="7"/>
        <v>46129</v>
      </c>
      <c r="K34" s="23">
        <f t="shared" si="8"/>
        <v>46113</v>
      </c>
      <c r="L34" t="s">
        <v>425</v>
      </c>
    </row>
    <row r="35" spans="1:12" x14ac:dyDescent="0.25">
      <c r="A35" s="20">
        <v>46083</v>
      </c>
      <c r="B35" t="s">
        <v>112</v>
      </c>
      <c r="C35" t="s">
        <v>113</v>
      </c>
      <c r="D35" s="22">
        <v>16000</v>
      </c>
      <c r="E35" s="22">
        <f t="shared" si="10"/>
        <v>16000</v>
      </c>
      <c r="F35" s="22">
        <f t="shared" si="11"/>
        <v>2880</v>
      </c>
      <c r="G35" s="22">
        <f t="shared" si="6"/>
        <v>18880</v>
      </c>
      <c r="H35" s="22">
        <f t="shared" si="12"/>
        <v>18560</v>
      </c>
      <c r="I35" s="22">
        <v>46</v>
      </c>
      <c r="J35" s="23">
        <f t="shared" si="7"/>
        <v>46129</v>
      </c>
      <c r="K35" s="23">
        <f t="shared" si="8"/>
        <v>46113</v>
      </c>
      <c r="L35" t="s">
        <v>425</v>
      </c>
    </row>
    <row r="36" spans="1:12" x14ac:dyDescent="0.25">
      <c r="A36" s="20">
        <v>45964</v>
      </c>
      <c r="B36" t="s">
        <v>114</v>
      </c>
      <c r="C36" t="s">
        <v>115</v>
      </c>
      <c r="D36" s="22">
        <v>22750</v>
      </c>
      <c r="E36" s="22">
        <f t="shared" si="10"/>
        <v>22750</v>
      </c>
      <c r="F36" s="22">
        <f t="shared" si="11"/>
        <v>4095</v>
      </c>
      <c r="G36" s="22">
        <f t="shared" si="6"/>
        <v>26845</v>
      </c>
      <c r="H36" s="22">
        <f t="shared" ref="H36:H50" si="13">G36-(E36*0.1)</f>
        <v>24570</v>
      </c>
      <c r="I36" s="22">
        <v>164</v>
      </c>
      <c r="J36" s="23">
        <f t="shared" si="7"/>
        <v>46128</v>
      </c>
      <c r="K36" s="23">
        <f t="shared" si="8"/>
        <v>45994</v>
      </c>
      <c r="L36" t="s">
        <v>425</v>
      </c>
    </row>
    <row r="37" spans="1:12" x14ac:dyDescent="0.25">
      <c r="A37" s="20">
        <v>45992</v>
      </c>
      <c r="B37" t="s">
        <v>116</v>
      </c>
      <c r="C37" t="s">
        <v>115</v>
      </c>
      <c r="D37" s="22">
        <v>22750</v>
      </c>
      <c r="E37" s="22">
        <f t="shared" si="10"/>
        <v>22750</v>
      </c>
      <c r="F37" s="22">
        <f t="shared" si="11"/>
        <v>4095</v>
      </c>
      <c r="G37" s="22">
        <f t="shared" si="6"/>
        <v>26845</v>
      </c>
      <c r="H37" s="22">
        <f t="shared" si="13"/>
        <v>24570</v>
      </c>
      <c r="I37" s="22">
        <v>136</v>
      </c>
      <c r="J37" s="23">
        <f t="shared" si="7"/>
        <v>46128</v>
      </c>
      <c r="K37" s="23">
        <f t="shared" si="8"/>
        <v>46022</v>
      </c>
      <c r="L37" t="s">
        <v>425</v>
      </c>
    </row>
    <row r="38" spans="1:12" x14ac:dyDescent="0.25">
      <c r="A38" s="20">
        <v>46023</v>
      </c>
      <c r="B38" t="s">
        <v>117</v>
      </c>
      <c r="C38" t="s">
        <v>115</v>
      </c>
      <c r="D38" s="22">
        <v>22750</v>
      </c>
      <c r="E38" s="22">
        <f t="shared" si="10"/>
        <v>22750</v>
      </c>
      <c r="F38" s="22">
        <f t="shared" si="11"/>
        <v>4095</v>
      </c>
      <c r="G38" s="22">
        <f t="shared" si="6"/>
        <v>26845</v>
      </c>
      <c r="H38" s="22">
        <f t="shared" si="13"/>
        <v>24570</v>
      </c>
      <c r="I38" s="22">
        <v>107</v>
      </c>
      <c r="J38" s="23">
        <f t="shared" si="7"/>
        <v>46130</v>
      </c>
      <c r="K38" s="23">
        <f t="shared" si="8"/>
        <v>46053</v>
      </c>
      <c r="L38" t="s">
        <v>425</v>
      </c>
    </row>
    <row r="39" spans="1:12" x14ac:dyDescent="0.25">
      <c r="A39" s="20">
        <v>46054</v>
      </c>
      <c r="B39" t="s">
        <v>118</v>
      </c>
      <c r="C39" t="s">
        <v>115</v>
      </c>
      <c r="D39" s="22">
        <v>22750</v>
      </c>
      <c r="E39" s="22">
        <f t="shared" si="10"/>
        <v>22750</v>
      </c>
      <c r="F39" s="22">
        <f t="shared" si="11"/>
        <v>4095</v>
      </c>
      <c r="G39" s="22">
        <f t="shared" ref="G39:G70" si="14">SUM(E39:F39)</f>
        <v>26845</v>
      </c>
      <c r="H39" s="22">
        <f t="shared" si="13"/>
        <v>24570</v>
      </c>
      <c r="I39" s="24">
        <v>75</v>
      </c>
      <c r="J39" s="23">
        <f t="shared" ref="J39:J70" si="15">A39+I39</f>
        <v>46129</v>
      </c>
      <c r="K39" s="23">
        <f t="shared" si="8"/>
        <v>46084</v>
      </c>
      <c r="L39" t="s">
        <v>425</v>
      </c>
    </row>
    <row r="40" spans="1:12" x14ac:dyDescent="0.25">
      <c r="A40" s="20">
        <v>46090</v>
      </c>
      <c r="B40" t="s">
        <v>119</v>
      </c>
      <c r="C40" t="s">
        <v>115</v>
      </c>
      <c r="D40" s="22">
        <v>22750</v>
      </c>
      <c r="E40" s="22">
        <f t="shared" si="10"/>
        <v>22750</v>
      </c>
      <c r="F40" s="22">
        <f t="shared" si="11"/>
        <v>4095</v>
      </c>
      <c r="G40" s="22">
        <f t="shared" si="14"/>
        <v>26845</v>
      </c>
      <c r="H40" s="22">
        <f t="shared" si="13"/>
        <v>24570</v>
      </c>
      <c r="I40" s="22">
        <v>40</v>
      </c>
      <c r="J40" s="23">
        <f t="shared" si="15"/>
        <v>46130</v>
      </c>
      <c r="K40" s="23">
        <f t="shared" si="8"/>
        <v>46120</v>
      </c>
      <c r="L40" t="s">
        <v>425</v>
      </c>
    </row>
    <row r="41" spans="1:12" x14ac:dyDescent="0.25">
      <c r="A41" s="20">
        <v>46080</v>
      </c>
      <c r="B41" t="s">
        <v>120</v>
      </c>
      <c r="C41" t="s">
        <v>121</v>
      </c>
      <c r="D41" s="22">
        <v>43401.24</v>
      </c>
      <c r="E41" s="22">
        <f t="shared" si="10"/>
        <v>43401.24</v>
      </c>
      <c r="F41" s="22">
        <f t="shared" si="11"/>
        <v>7812.2231999999995</v>
      </c>
      <c r="G41" s="22">
        <f t="shared" si="14"/>
        <v>51213.463199999998</v>
      </c>
      <c r="H41" s="22">
        <f t="shared" si="13"/>
        <v>46873.339200000002</v>
      </c>
      <c r="I41" s="22">
        <v>50</v>
      </c>
      <c r="J41" s="23">
        <f t="shared" si="15"/>
        <v>46130</v>
      </c>
      <c r="K41" s="23">
        <f t="shared" si="8"/>
        <v>46110</v>
      </c>
      <c r="L41" t="s">
        <v>425</v>
      </c>
    </row>
    <row r="42" spans="1:12" x14ac:dyDescent="0.25">
      <c r="A42" s="20">
        <v>46080</v>
      </c>
      <c r="B42" t="s">
        <v>122</v>
      </c>
      <c r="C42" t="s">
        <v>121</v>
      </c>
      <c r="D42" s="22">
        <v>114103.26</v>
      </c>
      <c r="E42" s="22">
        <f t="shared" si="10"/>
        <v>114103.26</v>
      </c>
      <c r="F42" s="22">
        <f t="shared" si="11"/>
        <v>20538.586799999997</v>
      </c>
      <c r="G42" s="22">
        <f t="shared" si="14"/>
        <v>134641.8468</v>
      </c>
      <c r="H42" s="22">
        <f t="shared" si="13"/>
        <v>123231.5208</v>
      </c>
      <c r="I42" s="22">
        <v>50</v>
      </c>
      <c r="J42" s="23">
        <f t="shared" si="15"/>
        <v>46130</v>
      </c>
      <c r="K42" s="23">
        <f t="shared" si="8"/>
        <v>46110</v>
      </c>
      <c r="L42" t="s">
        <v>425</v>
      </c>
    </row>
    <row r="43" spans="1:12" x14ac:dyDescent="0.25">
      <c r="A43" s="20">
        <v>46083</v>
      </c>
      <c r="B43" t="s">
        <v>123</v>
      </c>
      <c r="C43" t="s">
        <v>121</v>
      </c>
      <c r="D43" s="22">
        <v>575000</v>
      </c>
      <c r="E43" s="22">
        <f t="shared" si="10"/>
        <v>575000</v>
      </c>
      <c r="F43" s="22">
        <f t="shared" si="11"/>
        <v>103500</v>
      </c>
      <c r="G43" s="22">
        <f t="shared" si="14"/>
        <v>678500</v>
      </c>
      <c r="H43" s="22">
        <f t="shared" si="13"/>
        <v>621000</v>
      </c>
      <c r="I43" s="22">
        <v>46</v>
      </c>
      <c r="J43" s="23">
        <f t="shared" si="15"/>
        <v>46129</v>
      </c>
      <c r="K43" s="23">
        <f t="shared" si="8"/>
        <v>46113</v>
      </c>
      <c r="L43" t="s">
        <v>425</v>
      </c>
    </row>
    <row r="44" spans="1:12" x14ac:dyDescent="0.25">
      <c r="A44" s="20">
        <v>46093</v>
      </c>
      <c r="B44" t="s">
        <v>124</v>
      </c>
      <c r="C44" t="s">
        <v>121</v>
      </c>
      <c r="D44" s="22">
        <v>370018.62</v>
      </c>
      <c r="E44" s="22">
        <f t="shared" si="10"/>
        <v>370018.62</v>
      </c>
      <c r="F44" s="22">
        <f t="shared" si="11"/>
        <v>66603.351599999995</v>
      </c>
      <c r="G44" s="22">
        <f t="shared" si="14"/>
        <v>436621.97159999999</v>
      </c>
      <c r="H44" s="22">
        <f t="shared" si="13"/>
        <v>399620.10959999997</v>
      </c>
      <c r="I44" s="22">
        <v>45</v>
      </c>
      <c r="J44" s="23">
        <f t="shared" si="15"/>
        <v>46138</v>
      </c>
      <c r="K44" s="23">
        <f t="shared" si="8"/>
        <v>46123</v>
      </c>
      <c r="L44" t="s">
        <v>426</v>
      </c>
    </row>
    <row r="45" spans="1:12" x14ac:dyDescent="0.25">
      <c r="A45" s="20">
        <v>46093</v>
      </c>
      <c r="B45" t="s">
        <v>125</v>
      </c>
      <c r="C45" t="s">
        <v>121</v>
      </c>
      <c r="D45" s="22">
        <v>210331.2</v>
      </c>
      <c r="E45" s="22">
        <f t="shared" si="10"/>
        <v>210331.2</v>
      </c>
      <c r="F45" s="22">
        <f t="shared" si="11"/>
        <v>37859.616000000002</v>
      </c>
      <c r="G45" s="22">
        <f t="shared" si="14"/>
        <v>248190.81600000002</v>
      </c>
      <c r="H45" s="22">
        <f t="shared" si="13"/>
        <v>227157.69600000003</v>
      </c>
      <c r="I45" s="22">
        <v>45</v>
      </c>
      <c r="J45" s="23">
        <f t="shared" si="15"/>
        <v>46138</v>
      </c>
      <c r="K45" s="23">
        <f t="shared" si="8"/>
        <v>46123</v>
      </c>
      <c r="L45" t="s">
        <v>426</v>
      </c>
    </row>
    <row r="46" spans="1:12" x14ac:dyDescent="0.25">
      <c r="A46" s="20">
        <v>46093</v>
      </c>
      <c r="B46" t="s">
        <v>126</v>
      </c>
      <c r="C46" t="s">
        <v>121</v>
      </c>
      <c r="D46" s="22">
        <v>312579.02</v>
      </c>
      <c r="E46" s="22">
        <f t="shared" si="10"/>
        <v>312579.02</v>
      </c>
      <c r="F46" s="22">
        <f t="shared" si="11"/>
        <v>56264.223600000005</v>
      </c>
      <c r="G46" s="22">
        <f t="shared" si="14"/>
        <v>368843.24360000005</v>
      </c>
      <c r="H46" s="22">
        <f t="shared" si="13"/>
        <v>337585.34160000004</v>
      </c>
      <c r="I46" s="22">
        <v>45</v>
      </c>
      <c r="J46" s="23">
        <f t="shared" si="15"/>
        <v>46138</v>
      </c>
      <c r="K46" s="23">
        <f t="shared" si="8"/>
        <v>46123</v>
      </c>
      <c r="L46" t="s">
        <v>426</v>
      </c>
    </row>
    <row r="47" spans="1:12" x14ac:dyDescent="0.25">
      <c r="A47" s="20">
        <v>46093</v>
      </c>
      <c r="B47" t="s">
        <v>127</v>
      </c>
      <c r="C47" t="s">
        <v>121</v>
      </c>
      <c r="D47" s="22">
        <v>364641.05</v>
      </c>
      <c r="E47" s="22">
        <f t="shared" si="10"/>
        <v>364641.05</v>
      </c>
      <c r="F47" s="22">
        <f t="shared" si="11"/>
        <v>65635.388999999996</v>
      </c>
      <c r="G47" s="22">
        <f t="shared" si="14"/>
        <v>430276.43900000001</v>
      </c>
      <c r="H47" s="22">
        <f t="shared" si="13"/>
        <v>393812.33400000003</v>
      </c>
      <c r="I47" s="22">
        <v>45</v>
      </c>
      <c r="J47" s="23">
        <f t="shared" si="15"/>
        <v>46138</v>
      </c>
      <c r="K47" s="23">
        <f t="shared" si="8"/>
        <v>46123</v>
      </c>
      <c r="L47" t="s">
        <v>426</v>
      </c>
    </row>
    <row r="48" spans="1:12" x14ac:dyDescent="0.25">
      <c r="A48" s="20">
        <v>46093</v>
      </c>
      <c r="B48" t="s">
        <v>128</v>
      </c>
      <c r="C48" t="s">
        <v>121</v>
      </c>
      <c r="D48" s="22">
        <v>350709.58</v>
      </c>
      <c r="E48" s="22">
        <f t="shared" si="10"/>
        <v>350709.58</v>
      </c>
      <c r="F48" s="22">
        <f t="shared" si="11"/>
        <v>63127.724399999999</v>
      </c>
      <c r="G48" s="22">
        <f t="shared" si="14"/>
        <v>413837.30440000002</v>
      </c>
      <c r="H48" s="22">
        <f t="shared" si="13"/>
        <v>378766.34640000004</v>
      </c>
      <c r="I48" s="22">
        <v>45</v>
      </c>
      <c r="J48" s="23">
        <f t="shared" si="15"/>
        <v>46138</v>
      </c>
      <c r="K48" s="23">
        <f t="shared" si="8"/>
        <v>46123</v>
      </c>
      <c r="L48" t="s">
        <v>426</v>
      </c>
    </row>
    <row r="49" spans="1:12" x14ac:dyDescent="0.25">
      <c r="A49" s="20">
        <v>46093</v>
      </c>
      <c r="B49" t="s">
        <v>129</v>
      </c>
      <c r="C49" t="s">
        <v>121</v>
      </c>
      <c r="D49" s="22">
        <v>289222.01</v>
      </c>
      <c r="E49" s="22">
        <f t="shared" si="10"/>
        <v>289222.01</v>
      </c>
      <c r="F49" s="22">
        <f t="shared" si="11"/>
        <v>52059.961799999997</v>
      </c>
      <c r="G49" s="22">
        <f t="shared" si="14"/>
        <v>341281.9718</v>
      </c>
      <c r="H49" s="22">
        <f t="shared" si="13"/>
        <v>312359.7708</v>
      </c>
      <c r="I49" s="22">
        <v>45</v>
      </c>
      <c r="J49" s="23">
        <f t="shared" si="15"/>
        <v>46138</v>
      </c>
      <c r="K49" s="23">
        <f t="shared" si="8"/>
        <v>46123</v>
      </c>
      <c r="L49" t="s">
        <v>426</v>
      </c>
    </row>
    <row r="50" spans="1:12" x14ac:dyDescent="0.25">
      <c r="A50" s="20">
        <v>46093</v>
      </c>
      <c r="B50" t="s">
        <v>130</v>
      </c>
      <c r="C50" t="s">
        <v>121</v>
      </c>
      <c r="D50" s="22">
        <v>277048.59999999998</v>
      </c>
      <c r="E50" s="22">
        <f t="shared" si="10"/>
        <v>277048.59999999998</v>
      </c>
      <c r="F50" s="22">
        <f t="shared" si="11"/>
        <v>49868.747999999992</v>
      </c>
      <c r="G50" s="22">
        <f t="shared" si="14"/>
        <v>326917.348</v>
      </c>
      <c r="H50" s="22">
        <f t="shared" si="13"/>
        <v>299212.48800000001</v>
      </c>
      <c r="I50" s="22">
        <v>45</v>
      </c>
      <c r="J50" s="23">
        <f t="shared" si="15"/>
        <v>46138</v>
      </c>
      <c r="K50" s="23">
        <f t="shared" si="8"/>
        <v>46123</v>
      </c>
      <c r="L50" t="s">
        <v>426</v>
      </c>
    </row>
    <row r="51" spans="1:12" x14ac:dyDescent="0.25">
      <c r="A51" s="20">
        <v>46082</v>
      </c>
      <c r="B51" t="s">
        <v>131</v>
      </c>
      <c r="C51" t="s">
        <v>132</v>
      </c>
      <c r="D51" s="22">
        <v>103125</v>
      </c>
      <c r="E51" s="22">
        <f t="shared" ref="E51:E82" si="16">D51</f>
        <v>103125</v>
      </c>
      <c r="F51" s="22">
        <f t="shared" ref="F51:F82" si="17">E51*0.18</f>
        <v>18562.5</v>
      </c>
      <c r="G51" s="22">
        <f t="shared" si="14"/>
        <v>121687.5</v>
      </c>
      <c r="H51" s="22">
        <f t="shared" ref="H51:H68" si="18">G51-(E51*0.02)</f>
        <v>119625</v>
      </c>
      <c r="I51" s="22">
        <v>46</v>
      </c>
      <c r="J51" s="23">
        <f t="shared" si="15"/>
        <v>46128</v>
      </c>
      <c r="K51" s="23">
        <f t="shared" si="8"/>
        <v>46112</v>
      </c>
      <c r="L51" t="s">
        <v>426</v>
      </c>
    </row>
    <row r="52" spans="1:12" x14ac:dyDescent="0.25">
      <c r="A52" s="20">
        <v>46055</v>
      </c>
      <c r="B52" t="s">
        <v>133</v>
      </c>
      <c r="C52" t="s">
        <v>134</v>
      </c>
      <c r="D52" s="22">
        <v>3750</v>
      </c>
      <c r="E52" s="22">
        <f t="shared" si="16"/>
        <v>3750</v>
      </c>
      <c r="F52" s="22">
        <f t="shared" si="17"/>
        <v>675</v>
      </c>
      <c r="G52" s="22">
        <f t="shared" si="14"/>
        <v>4425</v>
      </c>
      <c r="H52" s="28">
        <f t="shared" si="18"/>
        <v>4350</v>
      </c>
      <c r="I52" s="22">
        <v>73</v>
      </c>
      <c r="J52" s="23">
        <f t="shared" si="15"/>
        <v>46128</v>
      </c>
      <c r="K52" s="23">
        <f t="shared" si="8"/>
        <v>46085</v>
      </c>
      <c r="L52" t="s">
        <v>426</v>
      </c>
    </row>
    <row r="53" spans="1:12" x14ac:dyDescent="0.25">
      <c r="A53" s="20">
        <v>46055</v>
      </c>
      <c r="B53" t="s">
        <v>135</v>
      </c>
      <c r="C53" t="s">
        <v>134</v>
      </c>
      <c r="D53" s="22">
        <v>3750</v>
      </c>
      <c r="E53" s="22">
        <f t="shared" si="16"/>
        <v>3750</v>
      </c>
      <c r="F53" s="22">
        <f t="shared" si="17"/>
        <v>675</v>
      </c>
      <c r="G53" s="22">
        <f t="shared" si="14"/>
        <v>4425</v>
      </c>
      <c r="H53" s="28">
        <f t="shared" si="18"/>
        <v>4350</v>
      </c>
      <c r="I53" s="22">
        <v>73</v>
      </c>
      <c r="J53" s="23">
        <f t="shared" si="15"/>
        <v>46128</v>
      </c>
      <c r="K53" s="23">
        <f t="shared" si="8"/>
        <v>46085</v>
      </c>
      <c r="L53" t="s">
        <v>426</v>
      </c>
    </row>
    <row r="54" spans="1:12" x14ac:dyDescent="0.25">
      <c r="A54" s="20">
        <v>46055</v>
      </c>
      <c r="B54" t="s">
        <v>136</v>
      </c>
      <c r="C54" t="s">
        <v>134</v>
      </c>
      <c r="D54" s="22">
        <v>3750</v>
      </c>
      <c r="E54" s="22">
        <f t="shared" si="16"/>
        <v>3750</v>
      </c>
      <c r="F54" s="22">
        <f t="shared" si="17"/>
        <v>675</v>
      </c>
      <c r="G54" s="22">
        <f t="shared" si="14"/>
        <v>4425</v>
      </c>
      <c r="H54" s="28">
        <f t="shared" si="18"/>
        <v>4350</v>
      </c>
      <c r="I54" s="22">
        <v>73</v>
      </c>
      <c r="J54" s="23">
        <f t="shared" si="15"/>
        <v>46128</v>
      </c>
      <c r="K54" s="23">
        <f t="shared" si="8"/>
        <v>46085</v>
      </c>
      <c r="L54" t="s">
        <v>426</v>
      </c>
    </row>
    <row r="55" spans="1:12" x14ac:dyDescent="0.25">
      <c r="A55" s="20">
        <v>46083</v>
      </c>
      <c r="B55" t="s">
        <v>137</v>
      </c>
      <c r="C55" t="s">
        <v>134</v>
      </c>
      <c r="D55" s="22">
        <v>3750</v>
      </c>
      <c r="E55" s="22">
        <f t="shared" si="16"/>
        <v>3750</v>
      </c>
      <c r="F55" s="22">
        <f t="shared" si="17"/>
        <v>675</v>
      </c>
      <c r="G55" s="22">
        <f t="shared" si="14"/>
        <v>4425</v>
      </c>
      <c r="H55" s="28">
        <f t="shared" si="18"/>
        <v>4350</v>
      </c>
      <c r="I55" s="22">
        <v>46</v>
      </c>
      <c r="J55" s="23">
        <f t="shared" si="15"/>
        <v>46129</v>
      </c>
      <c r="K55" s="23">
        <f t="shared" si="8"/>
        <v>46113</v>
      </c>
      <c r="L55" t="s">
        <v>426</v>
      </c>
    </row>
    <row r="56" spans="1:12" x14ac:dyDescent="0.25">
      <c r="A56" s="20">
        <v>46083</v>
      </c>
      <c r="B56" t="s">
        <v>138</v>
      </c>
      <c r="C56" t="s">
        <v>134</v>
      </c>
      <c r="D56" s="22">
        <v>3750</v>
      </c>
      <c r="E56" s="22">
        <f t="shared" si="16"/>
        <v>3750</v>
      </c>
      <c r="F56" s="22">
        <f t="shared" si="17"/>
        <v>675</v>
      </c>
      <c r="G56" s="22">
        <f t="shared" si="14"/>
        <v>4425</v>
      </c>
      <c r="H56" s="28">
        <f t="shared" si="18"/>
        <v>4350</v>
      </c>
      <c r="I56" s="22">
        <v>46</v>
      </c>
      <c r="J56" s="23">
        <f t="shared" si="15"/>
        <v>46129</v>
      </c>
      <c r="K56" s="23">
        <f t="shared" si="8"/>
        <v>46113</v>
      </c>
      <c r="L56" t="s">
        <v>426</v>
      </c>
    </row>
    <row r="57" spans="1:12" x14ac:dyDescent="0.25">
      <c r="A57" s="20">
        <v>46083</v>
      </c>
      <c r="B57" t="s">
        <v>139</v>
      </c>
      <c r="C57" t="s">
        <v>134</v>
      </c>
      <c r="D57" s="22">
        <v>3750</v>
      </c>
      <c r="E57" s="22">
        <f t="shared" si="16"/>
        <v>3750</v>
      </c>
      <c r="F57" s="22">
        <f t="shared" si="17"/>
        <v>675</v>
      </c>
      <c r="G57" s="22">
        <f t="shared" si="14"/>
        <v>4425</v>
      </c>
      <c r="H57" s="28">
        <f t="shared" si="18"/>
        <v>4350</v>
      </c>
      <c r="I57" s="22">
        <v>46</v>
      </c>
      <c r="J57" s="23">
        <f t="shared" si="15"/>
        <v>46129</v>
      </c>
      <c r="K57" s="23">
        <f t="shared" si="8"/>
        <v>46113</v>
      </c>
      <c r="L57" t="s">
        <v>426</v>
      </c>
    </row>
    <row r="58" spans="1:12" x14ac:dyDescent="0.25">
      <c r="A58" s="20">
        <v>46083</v>
      </c>
      <c r="B58" t="s">
        <v>140</v>
      </c>
      <c r="C58" t="s">
        <v>134</v>
      </c>
      <c r="D58" s="22">
        <v>3750</v>
      </c>
      <c r="E58" s="22">
        <f t="shared" si="16"/>
        <v>3750</v>
      </c>
      <c r="F58" s="22">
        <f t="shared" si="17"/>
        <v>675</v>
      </c>
      <c r="G58" s="22">
        <f t="shared" si="14"/>
        <v>4425</v>
      </c>
      <c r="H58" s="28">
        <f t="shared" si="18"/>
        <v>4350</v>
      </c>
      <c r="I58" s="22">
        <v>46</v>
      </c>
      <c r="J58" s="23">
        <f t="shared" si="15"/>
        <v>46129</v>
      </c>
      <c r="K58" s="23">
        <f t="shared" si="8"/>
        <v>46113</v>
      </c>
      <c r="L58" t="s">
        <v>426</v>
      </c>
    </row>
    <row r="59" spans="1:12" x14ac:dyDescent="0.25">
      <c r="A59" s="20">
        <v>46055</v>
      </c>
      <c r="B59" t="s">
        <v>141</v>
      </c>
      <c r="C59" t="s">
        <v>142</v>
      </c>
      <c r="D59" s="22">
        <v>7500</v>
      </c>
      <c r="E59" s="22">
        <f t="shared" si="16"/>
        <v>7500</v>
      </c>
      <c r="F59" s="22">
        <f t="shared" si="17"/>
        <v>1350</v>
      </c>
      <c r="G59" s="22">
        <f t="shared" si="14"/>
        <v>8850</v>
      </c>
      <c r="H59" s="28">
        <f t="shared" si="18"/>
        <v>8700</v>
      </c>
      <c r="I59" s="22">
        <v>75</v>
      </c>
      <c r="J59" s="23">
        <f t="shared" si="15"/>
        <v>46130</v>
      </c>
      <c r="K59" s="23">
        <f t="shared" si="8"/>
        <v>46085</v>
      </c>
      <c r="L59" t="s">
        <v>426</v>
      </c>
    </row>
    <row r="60" spans="1:12" x14ac:dyDescent="0.25">
      <c r="A60" s="20">
        <v>46055</v>
      </c>
      <c r="B60" t="s">
        <v>143</v>
      </c>
      <c r="C60" t="s">
        <v>142</v>
      </c>
      <c r="D60" s="22">
        <v>7500</v>
      </c>
      <c r="E60" s="22">
        <f t="shared" si="16"/>
        <v>7500</v>
      </c>
      <c r="F60" s="22">
        <f t="shared" si="17"/>
        <v>1350</v>
      </c>
      <c r="G60" s="22">
        <f t="shared" si="14"/>
        <v>8850</v>
      </c>
      <c r="H60" s="28">
        <f t="shared" si="18"/>
        <v>8700</v>
      </c>
      <c r="I60" s="22">
        <v>73</v>
      </c>
      <c r="J60" s="23">
        <f t="shared" si="15"/>
        <v>46128</v>
      </c>
      <c r="K60" s="23">
        <f t="shared" si="8"/>
        <v>46085</v>
      </c>
      <c r="L60" t="s">
        <v>426</v>
      </c>
    </row>
    <row r="61" spans="1:12" x14ac:dyDescent="0.25">
      <c r="A61" s="20">
        <v>46083</v>
      </c>
      <c r="B61" t="s">
        <v>144</v>
      </c>
      <c r="C61" t="s">
        <v>142</v>
      </c>
      <c r="D61" s="22">
        <v>7500</v>
      </c>
      <c r="E61" s="22">
        <f t="shared" si="16"/>
        <v>7500</v>
      </c>
      <c r="F61" s="22">
        <f t="shared" si="17"/>
        <v>1350</v>
      </c>
      <c r="G61" s="22">
        <f t="shared" si="14"/>
        <v>8850</v>
      </c>
      <c r="H61" s="28">
        <f t="shared" si="18"/>
        <v>8700</v>
      </c>
      <c r="I61" s="22">
        <v>46</v>
      </c>
      <c r="J61" s="23">
        <f t="shared" si="15"/>
        <v>46129</v>
      </c>
      <c r="K61" s="23">
        <f t="shared" si="8"/>
        <v>46113</v>
      </c>
      <c r="L61" t="s">
        <v>426</v>
      </c>
    </row>
    <row r="62" spans="1:12" x14ac:dyDescent="0.25">
      <c r="A62" s="20">
        <v>46083</v>
      </c>
      <c r="B62" t="s">
        <v>145</v>
      </c>
      <c r="C62" t="s">
        <v>142</v>
      </c>
      <c r="D62" s="22">
        <v>7500</v>
      </c>
      <c r="E62" s="22">
        <f t="shared" si="16"/>
        <v>7500</v>
      </c>
      <c r="F62" s="22">
        <f t="shared" si="17"/>
        <v>1350</v>
      </c>
      <c r="G62" s="22">
        <f t="shared" si="14"/>
        <v>8850</v>
      </c>
      <c r="H62" s="28">
        <f t="shared" si="18"/>
        <v>8700</v>
      </c>
      <c r="I62" s="22">
        <v>46</v>
      </c>
      <c r="J62" s="23">
        <f t="shared" si="15"/>
        <v>46129</v>
      </c>
      <c r="K62" s="23">
        <f t="shared" si="8"/>
        <v>46113</v>
      </c>
      <c r="L62" t="s">
        <v>426</v>
      </c>
    </row>
    <row r="63" spans="1:12" x14ac:dyDescent="0.25">
      <c r="A63" s="20">
        <v>46023</v>
      </c>
      <c r="B63" t="s">
        <v>146</v>
      </c>
      <c r="C63" t="s">
        <v>147</v>
      </c>
      <c r="D63" s="22">
        <v>10000</v>
      </c>
      <c r="E63" s="22">
        <f t="shared" si="16"/>
        <v>10000</v>
      </c>
      <c r="F63" s="22">
        <f t="shared" si="17"/>
        <v>1800</v>
      </c>
      <c r="G63" s="22">
        <f t="shared" si="14"/>
        <v>11800</v>
      </c>
      <c r="H63" s="28">
        <f t="shared" si="18"/>
        <v>11600</v>
      </c>
      <c r="I63" s="22">
        <v>107</v>
      </c>
      <c r="J63" s="23">
        <f t="shared" si="15"/>
        <v>46130</v>
      </c>
      <c r="K63" s="23">
        <f t="shared" si="8"/>
        <v>46053</v>
      </c>
      <c r="L63" t="s">
        <v>426</v>
      </c>
    </row>
    <row r="64" spans="1:12" x14ac:dyDescent="0.25">
      <c r="A64" s="20">
        <v>46023</v>
      </c>
      <c r="B64" t="s">
        <v>148</v>
      </c>
      <c r="C64" t="s">
        <v>147</v>
      </c>
      <c r="D64" s="22">
        <v>10000</v>
      </c>
      <c r="E64" s="22">
        <f t="shared" si="16"/>
        <v>10000</v>
      </c>
      <c r="F64" s="22">
        <f t="shared" si="17"/>
        <v>1800</v>
      </c>
      <c r="G64" s="22">
        <f t="shared" si="14"/>
        <v>11800</v>
      </c>
      <c r="H64" s="28">
        <f t="shared" si="18"/>
        <v>11600</v>
      </c>
      <c r="I64" s="22">
        <v>107</v>
      </c>
      <c r="J64" s="23">
        <f t="shared" si="15"/>
        <v>46130</v>
      </c>
      <c r="K64" s="23">
        <f t="shared" si="8"/>
        <v>46053</v>
      </c>
      <c r="L64" t="s">
        <v>426</v>
      </c>
    </row>
    <row r="65" spans="1:12" x14ac:dyDescent="0.25">
      <c r="A65" s="20">
        <v>46055</v>
      </c>
      <c r="B65" t="s">
        <v>149</v>
      </c>
      <c r="C65" t="s">
        <v>147</v>
      </c>
      <c r="D65" s="22">
        <v>10000</v>
      </c>
      <c r="E65" s="22">
        <f t="shared" si="16"/>
        <v>10000</v>
      </c>
      <c r="F65" s="22">
        <f t="shared" si="17"/>
        <v>1800</v>
      </c>
      <c r="G65" s="22">
        <f t="shared" si="14"/>
        <v>11800</v>
      </c>
      <c r="H65" s="28">
        <f t="shared" si="18"/>
        <v>11600</v>
      </c>
      <c r="I65" s="22">
        <v>73</v>
      </c>
      <c r="J65" s="23">
        <f t="shared" si="15"/>
        <v>46128</v>
      </c>
      <c r="K65" s="23">
        <f t="shared" si="8"/>
        <v>46085</v>
      </c>
      <c r="L65" t="s">
        <v>426</v>
      </c>
    </row>
    <row r="66" spans="1:12" x14ac:dyDescent="0.25">
      <c r="A66" s="20">
        <v>46055</v>
      </c>
      <c r="B66" t="s">
        <v>150</v>
      </c>
      <c r="C66" t="s">
        <v>147</v>
      </c>
      <c r="D66" s="22">
        <v>10000</v>
      </c>
      <c r="E66" s="22">
        <f t="shared" si="16"/>
        <v>10000</v>
      </c>
      <c r="F66" s="22">
        <f t="shared" si="17"/>
        <v>1800</v>
      </c>
      <c r="G66" s="22">
        <f t="shared" si="14"/>
        <v>11800</v>
      </c>
      <c r="H66" s="28">
        <f t="shared" si="18"/>
        <v>11600</v>
      </c>
      <c r="I66" s="22">
        <v>73</v>
      </c>
      <c r="J66" s="23">
        <f t="shared" si="15"/>
        <v>46128</v>
      </c>
      <c r="K66" s="23">
        <f t="shared" si="8"/>
        <v>46085</v>
      </c>
      <c r="L66" t="s">
        <v>426</v>
      </c>
    </row>
    <row r="67" spans="1:12" x14ac:dyDescent="0.25">
      <c r="A67" s="20">
        <v>46083</v>
      </c>
      <c r="B67" t="s">
        <v>151</v>
      </c>
      <c r="C67" t="s">
        <v>147</v>
      </c>
      <c r="D67" s="22">
        <v>10000</v>
      </c>
      <c r="E67" s="22">
        <f t="shared" si="16"/>
        <v>10000</v>
      </c>
      <c r="F67" s="22">
        <f t="shared" si="17"/>
        <v>1800</v>
      </c>
      <c r="G67" s="22">
        <f t="shared" si="14"/>
        <v>11800</v>
      </c>
      <c r="H67" s="28">
        <f t="shared" si="18"/>
        <v>11600</v>
      </c>
      <c r="I67" s="22">
        <v>46</v>
      </c>
      <c r="J67" s="23">
        <f t="shared" si="15"/>
        <v>46129</v>
      </c>
      <c r="K67" s="23">
        <f t="shared" si="8"/>
        <v>46113</v>
      </c>
      <c r="L67" t="s">
        <v>426</v>
      </c>
    </row>
    <row r="68" spans="1:12" x14ac:dyDescent="0.25">
      <c r="A68" s="20">
        <v>46083</v>
      </c>
      <c r="B68" t="s">
        <v>152</v>
      </c>
      <c r="C68" t="s">
        <v>147</v>
      </c>
      <c r="D68" s="22">
        <v>10000</v>
      </c>
      <c r="E68" s="22">
        <f t="shared" si="16"/>
        <v>10000</v>
      </c>
      <c r="F68" s="22">
        <f t="shared" si="17"/>
        <v>1800</v>
      </c>
      <c r="G68" s="22">
        <f t="shared" si="14"/>
        <v>11800</v>
      </c>
      <c r="H68" s="28">
        <f t="shared" si="18"/>
        <v>11600</v>
      </c>
      <c r="I68" s="22">
        <v>46</v>
      </c>
      <c r="J68" s="23">
        <f t="shared" si="15"/>
        <v>46129</v>
      </c>
      <c r="K68" s="23">
        <f t="shared" si="8"/>
        <v>46113</v>
      </c>
      <c r="L68" t="s">
        <v>426</v>
      </c>
    </row>
    <row r="69" spans="1:12" x14ac:dyDescent="0.25">
      <c r="A69" s="20">
        <v>46094</v>
      </c>
      <c r="B69" t="s">
        <v>153</v>
      </c>
      <c r="C69" t="s">
        <v>154</v>
      </c>
      <c r="D69" s="22">
        <v>2183625</v>
      </c>
      <c r="E69" s="22">
        <f t="shared" si="16"/>
        <v>2183625</v>
      </c>
      <c r="F69" s="22">
        <f t="shared" si="17"/>
        <v>393052.5</v>
      </c>
      <c r="G69" s="22">
        <f t="shared" si="14"/>
        <v>2576677.5</v>
      </c>
      <c r="H69" s="28">
        <f>G69-(E69*0.1)</f>
        <v>2358315</v>
      </c>
      <c r="I69" s="22">
        <v>39</v>
      </c>
      <c r="J69" s="23">
        <f t="shared" si="15"/>
        <v>46133</v>
      </c>
      <c r="K69" s="23">
        <f t="shared" si="8"/>
        <v>46124</v>
      </c>
      <c r="L69" t="s">
        <v>426</v>
      </c>
    </row>
    <row r="70" spans="1:12" x14ac:dyDescent="0.25">
      <c r="A70" s="20">
        <v>46083</v>
      </c>
      <c r="B70" t="s">
        <v>155</v>
      </c>
      <c r="C70" t="s">
        <v>156</v>
      </c>
      <c r="D70" s="22">
        <v>30000</v>
      </c>
      <c r="E70" s="22">
        <f t="shared" si="16"/>
        <v>30000</v>
      </c>
      <c r="F70" s="22">
        <f t="shared" si="17"/>
        <v>5400</v>
      </c>
      <c r="G70" s="22">
        <f t="shared" si="14"/>
        <v>35400</v>
      </c>
      <c r="H70" s="28">
        <f>G70-(E70*0.02)</f>
        <v>34800</v>
      </c>
      <c r="I70" s="22">
        <v>46</v>
      </c>
      <c r="J70" s="23">
        <f t="shared" si="15"/>
        <v>46129</v>
      </c>
      <c r="K70" s="23">
        <f t="shared" si="8"/>
        <v>46113</v>
      </c>
      <c r="L70" t="s">
        <v>426</v>
      </c>
    </row>
    <row r="71" spans="1:12" x14ac:dyDescent="0.25">
      <c r="A71" s="20">
        <v>46055</v>
      </c>
      <c r="B71" t="s">
        <v>157</v>
      </c>
      <c r="C71" t="s">
        <v>158</v>
      </c>
      <c r="D71" s="22">
        <v>60000</v>
      </c>
      <c r="E71" s="22">
        <f t="shared" si="16"/>
        <v>60000</v>
      </c>
      <c r="F71" s="22">
        <f t="shared" si="17"/>
        <v>10800</v>
      </c>
      <c r="G71" s="22">
        <f t="shared" ref="G71:G102" si="19">SUM(E71:F71)</f>
        <v>70800</v>
      </c>
      <c r="H71" s="28">
        <f>G71-(E71*0.02)</f>
        <v>69600</v>
      </c>
      <c r="I71" s="22">
        <v>73</v>
      </c>
      <c r="J71" s="23">
        <f t="shared" ref="J71:J102" si="20">A71+I71</f>
        <v>46128</v>
      </c>
      <c r="K71" s="23">
        <f t="shared" ref="K71:K134" si="21">+A71+30</f>
        <v>46085</v>
      </c>
      <c r="L71" t="s">
        <v>426</v>
      </c>
    </row>
    <row r="72" spans="1:12" x14ac:dyDescent="0.25">
      <c r="A72" s="20">
        <v>46055</v>
      </c>
      <c r="B72" t="s">
        <v>159</v>
      </c>
      <c r="C72" t="s">
        <v>158</v>
      </c>
      <c r="D72" s="22">
        <v>60000</v>
      </c>
      <c r="E72" s="22">
        <f t="shared" si="16"/>
        <v>60000</v>
      </c>
      <c r="F72" s="22">
        <f t="shared" si="17"/>
        <v>10800</v>
      </c>
      <c r="G72" s="22">
        <f t="shared" si="19"/>
        <v>70800</v>
      </c>
      <c r="H72" s="28">
        <f>G72-(E72*0.02)</f>
        <v>69600</v>
      </c>
      <c r="I72" s="22">
        <v>73</v>
      </c>
      <c r="J72" s="23">
        <f t="shared" si="20"/>
        <v>46128</v>
      </c>
      <c r="K72" s="23">
        <f t="shared" si="21"/>
        <v>46085</v>
      </c>
      <c r="L72" t="s">
        <v>426</v>
      </c>
    </row>
    <row r="73" spans="1:12" x14ac:dyDescent="0.25">
      <c r="A73" s="20">
        <v>46083</v>
      </c>
      <c r="B73" t="s">
        <v>160</v>
      </c>
      <c r="C73" t="s">
        <v>161</v>
      </c>
      <c r="D73" s="22">
        <v>191250</v>
      </c>
      <c r="E73" s="22">
        <f t="shared" si="16"/>
        <v>191250</v>
      </c>
      <c r="F73" s="22">
        <f t="shared" si="17"/>
        <v>34425</v>
      </c>
      <c r="G73" s="22">
        <f t="shared" si="19"/>
        <v>225675</v>
      </c>
      <c r="H73" s="28">
        <f>G73-(E73*0.1)</f>
        <v>206550</v>
      </c>
      <c r="I73" s="22">
        <v>49</v>
      </c>
      <c r="J73" s="23">
        <f t="shared" si="20"/>
        <v>46132</v>
      </c>
      <c r="K73" s="23">
        <f t="shared" si="21"/>
        <v>46113</v>
      </c>
      <c r="L73" t="s">
        <v>426</v>
      </c>
    </row>
    <row r="74" spans="1:12" x14ac:dyDescent="0.25">
      <c r="A74" s="20">
        <v>45992</v>
      </c>
      <c r="B74" t="s">
        <v>162</v>
      </c>
      <c r="C74" t="s">
        <v>163</v>
      </c>
      <c r="D74" s="22">
        <v>32080</v>
      </c>
      <c r="E74" s="22">
        <f t="shared" si="16"/>
        <v>32080</v>
      </c>
      <c r="F74" s="22">
        <f t="shared" si="17"/>
        <v>5774.4</v>
      </c>
      <c r="G74" s="22">
        <f t="shared" si="19"/>
        <v>37854.400000000001</v>
      </c>
      <c r="H74" s="28">
        <f>G74-(E74*0.02)</f>
        <v>37212.800000000003</v>
      </c>
      <c r="I74" s="22">
        <v>136</v>
      </c>
      <c r="J74" s="23">
        <f t="shared" si="20"/>
        <v>46128</v>
      </c>
      <c r="K74" s="23">
        <f t="shared" si="21"/>
        <v>46022</v>
      </c>
      <c r="L74" t="s">
        <v>426</v>
      </c>
    </row>
    <row r="75" spans="1:12" x14ac:dyDescent="0.25">
      <c r="A75" s="20">
        <v>46023</v>
      </c>
      <c r="B75" t="s">
        <v>164</v>
      </c>
      <c r="C75" t="s">
        <v>163</v>
      </c>
      <c r="D75" s="22">
        <v>112320</v>
      </c>
      <c r="E75" s="22">
        <f t="shared" si="16"/>
        <v>112320</v>
      </c>
      <c r="F75" s="22">
        <f t="shared" si="17"/>
        <v>20217.599999999999</v>
      </c>
      <c r="G75" s="22">
        <f t="shared" si="19"/>
        <v>132537.60000000001</v>
      </c>
      <c r="H75" s="28">
        <f>G75-(E75*0.02)</f>
        <v>130291.20000000001</v>
      </c>
      <c r="I75" s="22">
        <v>107</v>
      </c>
      <c r="J75" s="23">
        <f t="shared" si="20"/>
        <v>46130</v>
      </c>
      <c r="K75" s="23">
        <f t="shared" si="21"/>
        <v>46053</v>
      </c>
      <c r="L75" t="s">
        <v>426</v>
      </c>
    </row>
    <row r="76" spans="1:12" x14ac:dyDescent="0.25">
      <c r="A76" s="20">
        <v>46054</v>
      </c>
      <c r="B76" t="s">
        <v>32</v>
      </c>
      <c r="C76" t="s">
        <v>165</v>
      </c>
      <c r="D76" s="22">
        <v>20250</v>
      </c>
      <c r="E76" s="22">
        <f t="shared" si="16"/>
        <v>20250</v>
      </c>
      <c r="F76" s="22">
        <f t="shared" si="17"/>
        <v>3645</v>
      </c>
      <c r="G76" s="22">
        <f t="shared" si="19"/>
        <v>23895</v>
      </c>
      <c r="H76" s="28">
        <f>G76-(E76*0.02)</f>
        <v>23490</v>
      </c>
      <c r="I76" s="24">
        <v>75</v>
      </c>
      <c r="J76" s="23">
        <f t="shared" si="20"/>
        <v>46129</v>
      </c>
      <c r="K76" s="23">
        <f t="shared" si="21"/>
        <v>46084</v>
      </c>
      <c r="L76" t="s">
        <v>426</v>
      </c>
    </row>
    <row r="77" spans="1:12" x14ac:dyDescent="0.25">
      <c r="A77" s="20">
        <v>46082</v>
      </c>
      <c r="B77" t="s">
        <v>32</v>
      </c>
      <c r="C77" t="s">
        <v>165</v>
      </c>
      <c r="D77" s="22">
        <v>20250</v>
      </c>
      <c r="E77" s="22">
        <f t="shared" si="16"/>
        <v>20250</v>
      </c>
      <c r="F77" s="22">
        <f t="shared" si="17"/>
        <v>3645</v>
      </c>
      <c r="G77" s="22">
        <f t="shared" si="19"/>
        <v>23895</v>
      </c>
      <c r="H77" s="28">
        <f>G77-(E77*0.02)</f>
        <v>23490</v>
      </c>
      <c r="I77" s="24">
        <v>75</v>
      </c>
      <c r="J77" s="23">
        <f t="shared" si="20"/>
        <v>46157</v>
      </c>
      <c r="K77" s="23">
        <f t="shared" si="21"/>
        <v>46112</v>
      </c>
      <c r="L77" t="s">
        <v>426</v>
      </c>
    </row>
    <row r="78" spans="1:12" x14ac:dyDescent="0.25">
      <c r="A78" s="20">
        <v>46143</v>
      </c>
      <c r="B78" t="s">
        <v>32</v>
      </c>
      <c r="C78" t="s">
        <v>154</v>
      </c>
      <c r="D78" s="22">
        <f>925500*3</f>
        <v>2776500</v>
      </c>
      <c r="E78" s="22">
        <f t="shared" si="16"/>
        <v>2776500</v>
      </c>
      <c r="F78" s="22">
        <f t="shared" si="17"/>
        <v>499770</v>
      </c>
      <c r="G78" s="22">
        <f t="shared" si="19"/>
        <v>3276270</v>
      </c>
      <c r="H78" s="28">
        <f>G78-(E78*0.1)</f>
        <v>2998620</v>
      </c>
      <c r="I78" s="22">
        <v>39</v>
      </c>
      <c r="J78" s="23">
        <f t="shared" si="20"/>
        <v>46182</v>
      </c>
      <c r="K78" s="23">
        <f t="shared" si="21"/>
        <v>46173</v>
      </c>
      <c r="L78" t="s">
        <v>426</v>
      </c>
    </row>
    <row r="79" spans="1:12" x14ac:dyDescent="0.25">
      <c r="A79" s="20">
        <v>46113</v>
      </c>
      <c r="B79" t="s">
        <v>168</v>
      </c>
      <c r="C79" t="s">
        <v>169</v>
      </c>
      <c r="D79" s="22">
        <f>20000*3</f>
        <v>60000</v>
      </c>
      <c r="E79" s="22">
        <f t="shared" si="16"/>
        <v>60000</v>
      </c>
      <c r="F79" s="22">
        <f t="shared" si="17"/>
        <v>10800</v>
      </c>
      <c r="G79" s="22">
        <f t="shared" si="19"/>
        <v>70800</v>
      </c>
      <c r="H79" s="28">
        <f>G79-(E79*0.1)</f>
        <v>64800</v>
      </c>
      <c r="I79" s="22">
        <v>20</v>
      </c>
      <c r="J79" s="23">
        <f t="shared" si="20"/>
        <v>46133</v>
      </c>
      <c r="K79" s="23">
        <f t="shared" si="21"/>
        <v>46143</v>
      </c>
      <c r="L79" t="s">
        <v>426</v>
      </c>
    </row>
    <row r="80" spans="1:12" x14ac:dyDescent="0.25">
      <c r="A80" s="20">
        <v>46113</v>
      </c>
      <c r="B80" t="s">
        <v>170</v>
      </c>
      <c r="C80" t="s">
        <v>171</v>
      </c>
      <c r="D80" s="22">
        <v>30000</v>
      </c>
      <c r="E80" s="22">
        <f t="shared" si="16"/>
        <v>30000</v>
      </c>
      <c r="F80" s="22">
        <f t="shared" si="17"/>
        <v>5400</v>
      </c>
      <c r="G80" s="22">
        <f t="shared" si="19"/>
        <v>35400</v>
      </c>
      <c r="H80" s="28">
        <f t="shared" ref="H80:H86" si="22">G80-(E80*0.02)</f>
        <v>34800</v>
      </c>
      <c r="I80" s="22">
        <v>60</v>
      </c>
      <c r="J80" s="23">
        <f t="shared" si="20"/>
        <v>46173</v>
      </c>
      <c r="K80" s="23">
        <f t="shared" si="21"/>
        <v>46143</v>
      </c>
      <c r="L80" t="s">
        <v>426</v>
      </c>
    </row>
    <row r="81" spans="1:12" x14ac:dyDescent="0.25">
      <c r="A81" s="10">
        <v>46113</v>
      </c>
      <c r="B81" t="s">
        <v>172</v>
      </c>
      <c r="C81" t="s">
        <v>173</v>
      </c>
      <c r="D81" s="22">
        <v>40000</v>
      </c>
      <c r="E81" s="22">
        <f t="shared" si="16"/>
        <v>40000</v>
      </c>
      <c r="F81" s="22">
        <f t="shared" si="17"/>
        <v>7200</v>
      </c>
      <c r="G81" s="22">
        <f t="shared" si="19"/>
        <v>47200</v>
      </c>
      <c r="H81" s="28">
        <f t="shared" si="22"/>
        <v>46400</v>
      </c>
      <c r="I81" s="22">
        <v>50</v>
      </c>
      <c r="J81" s="23">
        <f t="shared" si="20"/>
        <v>46163</v>
      </c>
      <c r="K81" s="23">
        <f t="shared" si="21"/>
        <v>46143</v>
      </c>
      <c r="L81" t="s">
        <v>426</v>
      </c>
    </row>
    <row r="82" spans="1:12" x14ac:dyDescent="0.25">
      <c r="A82" s="20">
        <v>46113</v>
      </c>
      <c r="B82" t="s">
        <v>174</v>
      </c>
      <c r="C82" t="s">
        <v>175</v>
      </c>
      <c r="D82" s="22">
        <f>12000*3</f>
        <v>36000</v>
      </c>
      <c r="E82" s="22">
        <f t="shared" si="16"/>
        <v>36000</v>
      </c>
      <c r="F82" s="22">
        <f t="shared" si="17"/>
        <v>6480</v>
      </c>
      <c r="G82" s="22">
        <f t="shared" si="19"/>
        <v>42480</v>
      </c>
      <c r="H82" s="28">
        <f t="shared" si="22"/>
        <v>41760</v>
      </c>
      <c r="I82" s="22">
        <v>40</v>
      </c>
      <c r="J82" s="23">
        <f t="shared" si="20"/>
        <v>46153</v>
      </c>
      <c r="K82" s="23">
        <f t="shared" si="21"/>
        <v>46143</v>
      </c>
      <c r="L82" t="s">
        <v>426</v>
      </c>
    </row>
    <row r="83" spans="1:12" x14ac:dyDescent="0.25">
      <c r="A83" s="20">
        <v>46113</v>
      </c>
      <c r="B83" t="s">
        <v>176</v>
      </c>
      <c r="C83" t="s">
        <v>177</v>
      </c>
      <c r="D83" s="22">
        <v>60000</v>
      </c>
      <c r="E83" s="22">
        <f t="shared" ref="E83:E114" si="23">D83</f>
        <v>60000</v>
      </c>
      <c r="F83" s="22">
        <f t="shared" ref="F83:F114" si="24">E83*0.18</f>
        <v>10800</v>
      </c>
      <c r="G83" s="22">
        <f t="shared" si="19"/>
        <v>70800</v>
      </c>
      <c r="H83" s="22">
        <f t="shared" si="22"/>
        <v>69600</v>
      </c>
      <c r="I83" s="22">
        <v>40</v>
      </c>
      <c r="J83" s="23">
        <f t="shared" si="20"/>
        <v>46153</v>
      </c>
      <c r="K83" s="23">
        <f t="shared" si="21"/>
        <v>46143</v>
      </c>
      <c r="L83" t="s">
        <v>426</v>
      </c>
    </row>
    <row r="84" spans="1:12" x14ac:dyDescent="0.25">
      <c r="A84" s="20">
        <v>46113</v>
      </c>
      <c r="B84" t="s">
        <v>178</v>
      </c>
      <c r="C84" t="s">
        <v>179</v>
      </c>
      <c r="D84" s="22">
        <f>29600*3</f>
        <v>88800</v>
      </c>
      <c r="E84" s="22">
        <f t="shared" si="23"/>
        <v>88800</v>
      </c>
      <c r="F84" s="22">
        <f t="shared" si="24"/>
        <v>15984</v>
      </c>
      <c r="G84" s="22">
        <f t="shared" si="19"/>
        <v>104784</v>
      </c>
      <c r="H84" s="28">
        <f t="shared" si="22"/>
        <v>103008</v>
      </c>
      <c r="I84" s="22">
        <v>50</v>
      </c>
      <c r="J84" s="23">
        <f t="shared" si="20"/>
        <v>46163</v>
      </c>
      <c r="K84" s="23">
        <f t="shared" si="21"/>
        <v>46143</v>
      </c>
      <c r="L84" t="s">
        <v>426</v>
      </c>
    </row>
    <row r="85" spans="1:12" x14ac:dyDescent="0.25">
      <c r="A85" s="20">
        <v>46113</v>
      </c>
      <c r="B85" t="s">
        <v>180</v>
      </c>
      <c r="C85" t="s">
        <v>181</v>
      </c>
      <c r="D85" s="22">
        <v>60000</v>
      </c>
      <c r="E85" s="22">
        <f t="shared" si="23"/>
        <v>60000</v>
      </c>
      <c r="F85" s="22">
        <f t="shared" si="24"/>
        <v>10800</v>
      </c>
      <c r="G85" s="22">
        <f t="shared" si="19"/>
        <v>70800</v>
      </c>
      <c r="H85" s="22">
        <f t="shared" si="22"/>
        <v>69600</v>
      </c>
      <c r="I85" s="22">
        <v>33</v>
      </c>
      <c r="J85" s="23">
        <f t="shared" si="20"/>
        <v>46146</v>
      </c>
      <c r="K85" s="23">
        <f t="shared" si="21"/>
        <v>46143</v>
      </c>
      <c r="L85" t="s">
        <v>426</v>
      </c>
    </row>
    <row r="86" spans="1:12" x14ac:dyDescent="0.25">
      <c r="A86" s="20">
        <v>46113</v>
      </c>
      <c r="B86" t="s">
        <v>182</v>
      </c>
      <c r="C86" t="s">
        <v>183</v>
      </c>
      <c r="D86" s="22">
        <v>47700</v>
      </c>
      <c r="E86" s="22">
        <f t="shared" si="23"/>
        <v>47700</v>
      </c>
      <c r="F86" s="22">
        <f t="shared" si="24"/>
        <v>8586</v>
      </c>
      <c r="G86" s="22">
        <f t="shared" si="19"/>
        <v>56286</v>
      </c>
      <c r="H86" s="22">
        <f t="shared" si="22"/>
        <v>55332</v>
      </c>
      <c r="I86" s="22">
        <v>50</v>
      </c>
      <c r="J86" s="23">
        <f t="shared" si="20"/>
        <v>46163</v>
      </c>
      <c r="K86" s="23">
        <f t="shared" si="21"/>
        <v>46143</v>
      </c>
      <c r="L86" t="s">
        <v>426</v>
      </c>
    </row>
    <row r="87" spans="1:12" x14ac:dyDescent="0.25">
      <c r="A87" s="20">
        <v>46113</v>
      </c>
      <c r="B87" t="s">
        <v>184</v>
      </c>
      <c r="C87" t="s">
        <v>185</v>
      </c>
      <c r="D87" s="22">
        <v>60000</v>
      </c>
      <c r="E87" s="22">
        <f t="shared" si="23"/>
        <v>60000</v>
      </c>
      <c r="F87" s="22">
        <f t="shared" si="24"/>
        <v>10800</v>
      </c>
      <c r="G87" s="22">
        <f t="shared" si="19"/>
        <v>70800</v>
      </c>
      <c r="H87" s="22">
        <f>G87-(E87*0.1)</f>
        <v>64800</v>
      </c>
      <c r="I87" s="22">
        <v>40</v>
      </c>
      <c r="J87" s="23">
        <f t="shared" si="20"/>
        <v>46153</v>
      </c>
      <c r="K87" s="23">
        <f t="shared" si="21"/>
        <v>46143</v>
      </c>
      <c r="L87" t="s">
        <v>426</v>
      </c>
    </row>
    <row r="88" spans="1:12" x14ac:dyDescent="0.25">
      <c r="A88" s="10">
        <v>46143</v>
      </c>
      <c r="B88" t="s">
        <v>32</v>
      </c>
      <c r="C88" t="s">
        <v>121</v>
      </c>
      <c r="D88" s="22">
        <v>2475000</v>
      </c>
      <c r="E88" s="22">
        <f t="shared" si="23"/>
        <v>2475000</v>
      </c>
      <c r="F88" s="22">
        <f t="shared" si="24"/>
        <v>445500</v>
      </c>
      <c r="G88" s="22">
        <f t="shared" si="19"/>
        <v>2920500</v>
      </c>
      <c r="H88" s="22">
        <f>G88-(E88*0.1)</f>
        <v>2673000</v>
      </c>
      <c r="I88" s="22">
        <v>34</v>
      </c>
      <c r="J88" s="23">
        <f t="shared" si="20"/>
        <v>46177</v>
      </c>
      <c r="K88" s="23">
        <f t="shared" si="21"/>
        <v>46173</v>
      </c>
      <c r="L88" t="s">
        <v>426</v>
      </c>
    </row>
    <row r="89" spans="1:12" x14ac:dyDescent="0.25">
      <c r="A89" s="10">
        <v>46174</v>
      </c>
      <c r="B89" t="s">
        <v>32</v>
      </c>
      <c r="C89" t="s">
        <v>221</v>
      </c>
      <c r="D89" s="22">
        <f>723450+304500</f>
        <v>1027950</v>
      </c>
      <c r="E89" s="22">
        <f t="shared" si="23"/>
        <v>1027950</v>
      </c>
      <c r="F89" s="22">
        <f t="shared" si="24"/>
        <v>185031</v>
      </c>
      <c r="G89" s="22">
        <f t="shared" si="19"/>
        <v>1212981</v>
      </c>
      <c r="H89" s="22">
        <f>G89-(E89*0.02)</f>
        <v>1192422</v>
      </c>
      <c r="I89" s="22">
        <v>20</v>
      </c>
      <c r="J89" s="23">
        <f t="shared" si="20"/>
        <v>46194</v>
      </c>
      <c r="K89" s="23">
        <f t="shared" si="21"/>
        <v>46204</v>
      </c>
      <c r="L89" t="s">
        <v>426</v>
      </c>
    </row>
    <row r="90" spans="1:12" x14ac:dyDescent="0.25">
      <c r="A90" s="10">
        <v>46173</v>
      </c>
      <c r="B90" t="s">
        <v>32</v>
      </c>
      <c r="C90" t="s">
        <v>282</v>
      </c>
      <c r="D90" s="22">
        <f>525545+392109</f>
        <v>917654</v>
      </c>
      <c r="E90" s="22">
        <f t="shared" si="23"/>
        <v>917654</v>
      </c>
      <c r="F90" s="22">
        <f t="shared" si="24"/>
        <v>165177.72</v>
      </c>
      <c r="G90" s="22">
        <f t="shared" si="19"/>
        <v>1082831.72</v>
      </c>
      <c r="H90" s="22">
        <f>G90-(E90*0.1)</f>
        <v>991066.32</v>
      </c>
      <c r="I90" s="22">
        <v>6</v>
      </c>
      <c r="J90" s="23">
        <f t="shared" si="20"/>
        <v>46179</v>
      </c>
      <c r="K90" s="23">
        <f t="shared" si="21"/>
        <v>46203</v>
      </c>
      <c r="L90" t="s">
        <v>426</v>
      </c>
    </row>
    <row r="91" spans="1:12" x14ac:dyDescent="0.25">
      <c r="A91" s="10">
        <v>46113</v>
      </c>
      <c r="B91" t="s">
        <v>188</v>
      </c>
      <c r="C91" t="s">
        <v>189</v>
      </c>
      <c r="D91" s="22">
        <v>100000</v>
      </c>
      <c r="E91" s="22">
        <f t="shared" si="23"/>
        <v>100000</v>
      </c>
      <c r="F91" s="22">
        <f t="shared" si="24"/>
        <v>18000</v>
      </c>
      <c r="G91" s="22">
        <f t="shared" si="19"/>
        <v>118000</v>
      </c>
      <c r="H91" s="28">
        <f>G91-(E91*0.02)</f>
        <v>116000</v>
      </c>
      <c r="I91" s="22">
        <v>34</v>
      </c>
      <c r="J91" s="23">
        <f t="shared" si="20"/>
        <v>46147</v>
      </c>
      <c r="K91" s="23">
        <f t="shared" si="21"/>
        <v>46143</v>
      </c>
      <c r="L91" t="s">
        <v>426</v>
      </c>
    </row>
    <row r="92" spans="1:12" x14ac:dyDescent="0.25">
      <c r="A92" s="10">
        <v>46143</v>
      </c>
      <c r="B92" t="s">
        <v>32</v>
      </c>
      <c r="C92" t="s">
        <v>29</v>
      </c>
      <c r="D92" s="22">
        <v>902500</v>
      </c>
      <c r="E92" s="22">
        <f t="shared" si="23"/>
        <v>902500</v>
      </c>
      <c r="F92" s="22">
        <f t="shared" si="24"/>
        <v>162450</v>
      </c>
      <c r="G92" s="22">
        <f t="shared" si="19"/>
        <v>1064950</v>
      </c>
      <c r="H92" s="22">
        <f>G92-(E92*0.1)</f>
        <v>974700</v>
      </c>
      <c r="I92" s="22">
        <v>34</v>
      </c>
      <c r="J92" s="23">
        <f t="shared" si="20"/>
        <v>46177</v>
      </c>
      <c r="K92" s="23">
        <f t="shared" si="21"/>
        <v>46173</v>
      </c>
      <c r="L92" t="s">
        <v>426</v>
      </c>
    </row>
    <row r="93" spans="1:12" x14ac:dyDescent="0.25">
      <c r="A93" s="10">
        <v>46113</v>
      </c>
      <c r="B93" t="s">
        <v>32</v>
      </c>
      <c r="C93" t="s">
        <v>35</v>
      </c>
      <c r="D93" s="22">
        <v>105000</v>
      </c>
      <c r="E93" s="22">
        <f t="shared" si="23"/>
        <v>105000</v>
      </c>
      <c r="F93" s="22">
        <f t="shared" si="24"/>
        <v>18900</v>
      </c>
      <c r="G93" s="22">
        <f t="shared" si="19"/>
        <v>123900</v>
      </c>
      <c r="H93" s="22">
        <f t="shared" ref="H93:H105" si="25">G93-(E93*0.02)</f>
        <v>121800</v>
      </c>
      <c r="I93" s="22">
        <v>34</v>
      </c>
      <c r="J93" s="23">
        <f t="shared" si="20"/>
        <v>46147</v>
      </c>
      <c r="K93" s="23">
        <f t="shared" si="21"/>
        <v>46143</v>
      </c>
      <c r="L93" t="s">
        <v>426</v>
      </c>
    </row>
    <row r="94" spans="1:12" x14ac:dyDescent="0.25">
      <c r="A94" s="10">
        <v>46143</v>
      </c>
      <c r="B94" t="s">
        <v>32</v>
      </c>
      <c r="C94" t="s">
        <v>45</v>
      </c>
      <c r="D94" s="22">
        <v>765000</v>
      </c>
      <c r="E94" s="22">
        <f t="shared" si="23"/>
        <v>765000</v>
      </c>
      <c r="F94" s="22">
        <f t="shared" si="24"/>
        <v>137700</v>
      </c>
      <c r="G94" s="22">
        <f t="shared" si="19"/>
        <v>902700</v>
      </c>
      <c r="H94" s="22">
        <f t="shared" si="25"/>
        <v>887400</v>
      </c>
      <c r="I94" s="22">
        <v>34</v>
      </c>
      <c r="J94" s="23">
        <f t="shared" si="20"/>
        <v>46177</v>
      </c>
      <c r="K94" s="23">
        <f t="shared" si="21"/>
        <v>46173</v>
      </c>
      <c r="L94" t="s">
        <v>426</v>
      </c>
    </row>
    <row r="95" spans="1:12" x14ac:dyDescent="0.25">
      <c r="A95" s="10">
        <v>46119</v>
      </c>
      <c r="B95" t="s">
        <v>190</v>
      </c>
      <c r="C95" t="s">
        <v>191</v>
      </c>
      <c r="D95" s="22">
        <v>733600</v>
      </c>
      <c r="E95" s="22">
        <f t="shared" si="23"/>
        <v>733600</v>
      </c>
      <c r="F95" s="22">
        <f t="shared" si="24"/>
        <v>132048</v>
      </c>
      <c r="G95" s="22">
        <f t="shared" si="19"/>
        <v>865648</v>
      </c>
      <c r="H95" s="22">
        <f t="shared" si="25"/>
        <v>850976</v>
      </c>
      <c r="I95" s="22">
        <v>34</v>
      </c>
      <c r="J95" s="23">
        <f t="shared" si="20"/>
        <v>46153</v>
      </c>
      <c r="K95" s="23">
        <f t="shared" si="21"/>
        <v>46149</v>
      </c>
      <c r="L95" t="s">
        <v>426</v>
      </c>
    </row>
    <row r="96" spans="1:12" x14ac:dyDescent="0.25">
      <c r="A96" s="10">
        <v>46143</v>
      </c>
      <c r="B96" t="s">
        <v>32</v>
      </c>
      <c r="C96" t="s">
        <v>191</v>
      </c>
      <c r="D96" s="22">
        <v>711200</v>
      </c>
      <c r="E96" s="22">
        <f t="shared" si="23"/>
        <v>711200</v>
      </c>
      <c r="F96" s="22">
        <f t="shared" si="24"/>
        <v>128016</v>
      </c>
      <c r="G96" s="22">
        <f t="shared" si="19"/>
        <v>839216</v>
      </c>
      <c r="H96" s="22">
        <f t="shared" si="25"/>
        <v>824992</v>
      </c>
      <c r="I96" s="22">
        <v>34</v>
      </c>
      <c r="J96" s="23">
        <f t="shared" si="20"/>
        <v>46177</v>
      </c>
      <c r="K96" s="23">
        <f t="shared" si="21"/>
        <v>46173</v>
      </c>
      <c r="L96" t="s">
        <v>426</v>
      </c>
    </row>
    <row r="97" spans="1:12" x14ac:dyDescent="0.25">
      <c r="A97" s="10">
        <v>46113</v>
      </c>
      <c r="B97" t="s">
        <v>192</v>
      </c>
      <c r="C97" t="s">
        <v>45</v>
      </c>
      <c r="D97" s="22">
        <v>40827</v>
      </c>
      <c r="E97" s="22">
        <f t="shared" si="23"/>
        <v>40827</v>
      </c>
      <c r="F97" s="22">
        <f t="shared" si="24"/>
        <v>7348.86</v>
      </c>
      <c r="G97" s="22">
        <f t="shared" si="19"/>
        <v>48175.86</v>
      </c>
      <c r="H97" s="22">
        <f t="shared" si="25"/>
        <v>47359.32</v>
      </c>
      <c r="I97" s="22">
        <v>34</v>
      </c>
      <c r="J97" s="23">
        <f t="shared" si="20"/>
        <v>46147</v>
      </c>
      <c r="K97" s="23">
        <f t="shared" si="21"/>
        <v>46143</v>
      </c>
      <c r="L97" t="s">
        <v>426</v>
      </c>
    </row>
    <row r="98" spans="1:12" x14ac:dyDescent="0.25">
      <c r="A98" s="10">
        <v>46121</v>
      </c>
      <c r="B98" t="s">
        <v>193</v>
      </c>
      <c r="C98" t="s">
        <v>45</v>
      </c>
      <c r="D98" s="22">
        <v>45000</v>
      </c>
      <c r="E98" s="22">
        <f t="shared" si="23"/>
        <v>45000</v>
      </c>
      <c r="F98" s="22">
        <f t="shared" si="24"/>
        <v>8100</v>
      </c>
      <c r="G98" s="22">
        <f t="shared" si="19"/>
        <v>53100</v>
      </c>
      <c r="H98" s="22">
        <f t="shared" si="25"/>
        <v>52200</v>
      </c>
      <c r="I98" s="22">
        <v>34</v>
      </c>
      <c r="J98" s="23">
        <f t="shared" si="20"/>
        <v>46155</v>
      </c>
      <c r="K98" s="23">
        <f t="shared" si="21"/>
        <v>46151</v>
      </c>
      <c r="L98" t="s">
        <v>426</v>
      </c>
    </row>
    <row r="99" spans="1:12" x14ac:dyDescent="0.25">
      <c r="A99" s="10">
        <v>46113</v>
      </c>
      <c r="B99" t="s">
        <v>194</v>
      </c>
      <c r="C99" t="s">
        <v>45</v>
      </c>
      <c r="D99" s="22">
        <v>55000</v>
      </c>
      <c r="E99" s="22">
        <f t="shared" si="23"/>
        <v>55000</v>
      </c>
      <c r="F99" s="22">
        <f t="shared" si="24"/>
        <v>9900</v>
      </c>
      <c r="G99" s="22">
        <f t="shared" si="19"/>
        <v>64900</v>
      </c>
      <c r="H99" s="22">
        <f t="shared" si="25"/>
        <v>63800</v>
      </c>
      <c r="I99" s="22">
        <v>34</v>
      </c>
      <c r="J99" s="23">
        <f t="shared" si="20"/>
        <v>46147</v>
      </c>
      <c r="K99" s="23">
        <f t="shared" si="21"/>
        <v>46143</v>
      </c>
      <c r="L99" t="s">
        <v>426</v>
      </c>
    </row>
    <row r="100" spans="1:12" x14ac:dyDescent="0.25">
      <c r="A100" s="10">
        <v>46113</v>
      </c>
      <c r="B100" t="s">
        <v>195</v>
      </c>
      <c r="C100" t="s">
        <v>45</v>
      </c>
      <c r="D100" s="22">
        <v>109836</v>
      </c>
      <c r="E100" s="22">
        <f t="shared" si="23"/>
        <v>109836</v>
      </c>
      <c r="F100" s="22">
        <f t="shared" si="24"/>
        <v>19770.48</v>
      </c>
      <c r="G100" s="22">
        <f t="shared" si="19"/>
        <v>129606.48</v>
      </c>
      <c r="H100" s="22">
        <f t="shared" si="25"/>
        <v>127409.76</v>
      </c>
      <c r="I100" s="22">
        <v>34</v>
      </c>
      <c r="J100" s="23">
        <f t="shared" si="20"/>
        <v>46147</v>
      </c>
      <c r="K100" s="23">
        <f t="shared" si="21"/>
        <v>46143</v>
      </c>
      <c r="L100" t="s">
        <v>426</v>
      </c>
    </row>
    <row r="101" spans="1:12" x14ac:dyDescent="0.25">
      <c r="A101" s="10">
        <v>46113</v>
      </c>
      <c r="B101" t="s">
        <v>196</v>
      </c>
      <c r="C101" t="s">
        <v>45</v>
      </c>
      <c r="D101" s="22">
        <v>135000</v>
      </c>
      <c r="E101" s="22">
        <f t="shared" si="23"/>
        <v>135000</v>
      </c>
      <c r="F101" s="22">
        <f t="shared" si="24"/>
        <v>24300</v>
      </c>
      <c r="G101" s="22">
        <f t="shared" si="19"/>
        <v>159300</v>
      </c>
      <c r="H101" s="22">
        <f t="shared" si="25"/>
        <v>156600</v>
      </c>
      <c r="I101" s="22">
        <v>34</v>
      </c>
      <c r="J101" s="23">
        <f t="shared" si="20"/>
        <v>46147</v>
      </c>
      <c r="K101" s="23">
        <f t="shared" si="21"/>
        <v>46143</v>
      </c>
      <c r="L101" t="s">
        <v>426</v>
      </c>
    </row>
    <row r="102" spans="1:12" x14ac:dyDescent="0.25">
      <c r="A102" s="10">
        <v>46113</v>
      </c>
      <c r="B102" t="s">
        <v>197</v>
      </c>
      <c r="C102" t="s">
        <v>45</v>
      </c>
      <c r="D102" s="22">
        <v>320000</v>
      </c>
      <c r="E102" s="22">
        <f t="shared" si="23"/>
        <v>320000</v>
      </c>
      <c r="F102" s="22">
        <f t="shared" si="24"/>
        <v>57600</v>
      </c>
      <c r="G102" s="22">
        <f t="shared" si="19"/>
        <v>377600</v>
      </c>
      <c r="H102" s="22">
        <f t="shared" si="25"/>
        <v>371200</v>
      </c>
      <c r="I102" s="22">
        <v>34</v>
      </c>
      <c r="J102" s="23">
        <f t="shared" si="20"/>
        <v>46147</v>
      </c>
      <c r="K102" s="23">
        <f t="shared" si="21"/>
        <v>46143</v>
      </c>
      <c r="L102" t="s">
        <v>426</v>
      </c>
    </row>
    <row r="103" spans="1:12" x14ac:dyDescent="0.25">
      <c r="A103" s="10">
        <v>46113</v>
      </c>
      <c r="B103" t="s">
        <v>198</v>
      </c>
      <c r="C103" t="s">
        <v>45</v>
      </c>
      <c r="D103" s="22">
        <v>89333</v>
      </c>
      <c r="E103" s="22">
        <f t="shared" si="23"/>
        <v>89333</v>
      </c>
      <c r="F103" s="22">
        <f t="shared" si="24"/>
        <v>16079.939999999999</v>
      </c>
      <c r="G103" s="22">
        <f t="shared" ref="G103:G134" si="26">SUM(E103:F103)</f>
        <v>105412.94</v>
      </c>
      <c r="H103" s="22">
        <f t="shared" si="25"/>
        <v>103626.28</v>
      </c>
      <c r="I103" s="22">
        <v>34</v>
      </c>
      <c r="J103" s="23">
        <f t="shared" ref="J103:J134" si="27">A103+I103</f>
        <v>46147</v>
      </c>
      <c r="K103" s="23">
        <f t="shared" si="21"/>
        <v>46143</v>
      </c>
      <c r="L103" t="s">
        <v>426</v>
      </c>
    </row>
    <row r="104" spans="1:12" x14ac:dyDescent="0.25">
      <c r="A104" s="10">
        <v>46113</v>
      </c>
      <c r="B104" t="s">
        <v>199</v>
      </c>
      <c r="C104" t="s">
        <v>45</v>
      </c>
      <c r="D104" s="22">
        <v>40000</v>
      </c>
      <c r="E104" s="22">
        <f t="shared" si="23"/>
        <v>40000</v>
      </c>
      <c r="F104" s="22">
        <f t="shared" si="24"/>
        <v>7200</v>
      </c>
      <c r="G104" s="22">
        <f t="shared" si="26"/>
        <v>47200</v>
      </c>
      <c r="H104" s="22">
        <f t="shared" si="25"/>
        <v>46400</v>
      </c>
      <c r="I104" s="22">
        <v>34</v>
      </c>
      <c r="J104" s="23">
        <f t="shared" si="27"/>
        <v>46147</v>
      </c>
      <c r="K104" s="23">
        <f t="shared" si="21"/>
        <v>46143</v>
      </c>
      <c r="L104" t="s">
        <v>426</v>
      </c>
    </row>
    <row r="105" spans="1:12" x14ac:dyDescent="0.25">
      <c r="A105" s="10">
        <v>46113</v>
      </c>
      <c r="B105" t="s">
        <v>200</v>
      </c>
      <c r="C105" t="s">
        <v>45</v>
      </c>
      <c r="D105" s="22">
        <v>60000</v>
      </c>
      <c r="E105" s="22">
        <f t="shared" si="23"/>
        <v>60000</v>
      </c>
      <c r="F105" s="22">
        <f t="shared" si="24"/>
        <v>10800</v>
      </c>
      <c r="G105" s="22">
        <f t="shared" si="26"/>
        <v>70800</v>
      </c>
      <c r="H105" s="22">
        <f t="shared" si="25"/>
        <v>69600</v>
      </c>
      <c r="I105" s="22">
        <v>34</v>
      </c>
      <c r="J105" s="23">
        <f t="shared" si="27"/>
        <v>46147</v>
      </c>
      <c r="K105" s="23">
        <f t="shared" si="21"/>
        <v>46143</v>
      </c>
      <c r="L105" t="s">
        <v>426</v>
      </c>
    </row>
    <row r="106" spans="1:12" x14ac:dyDescent="0.25">
      <c r="A106" s="20">
        <v>46113</v>
      </c>
      <c r="B106" t="s">
        <v>32</v>
      </c>
      <c r="C106" t="s">
        <v>29</v>
      </c>
      <c r="D106" s="22">
        <f>15*47500</f>
        <v>712500</v>
      </c>
      <c r="E106" s="22">
        <f t="shared" si="23"/>
        <v>712500</v>
      </c>
      <c r="F106" s="22">
        <f t="shared" si="24"/>
        <v>128250</v>
      </c>
      <c r="G106" s="22">
        <f t="shared" si="26"/>
        <v>840750</v>
      </c>
      <c r="H106" s="22">
        <f>G106-(E106*0.1)</f>
        <v>769500</v>
      </c>
      <c r="I106" s="22">
        <v>65</v>
      </c>
      <c r="J106" s="23">
        <f t="shared" si="27"/>
        <v>46178</v>
      </c>
      <c r="K106" s="23">
        <f t="shared" si="21"/>
        <v>46143</v>
      </c>
      <c r="L106" t="s">
        <v>425</v>
      </c>
    </row>
    <row r="107" spans="1:12" x14ac:dyDescent="0.25">
      <c r="A107" s="10">
        <v>46143</v>
      </c>
      <c r="B107" t="s">
        <v>32</v>
      </c>
      <c r="C107" t="s">
        <v>210</v>
      </c>
      <c r="D107" s="22">
        <v>590163</v>
      </c>
      <c r="E107" s="22">
        <f t="shared" si="23"/>
        <v>590163</v>
      </c>
      <c r="F107" s="22">
        <f t="shared" si="24"/>
        <v>106229.34</v>
      </c>
      <c r="G107" s="22">
        <f t="shared" si="26"/>
        <v>696392.34</v>
      </c>
      <c r="H107" s="22">
        <f>G107-(E107*0.02)</f>
        <v>684589.08</v>
      </c>
      <c r="I107" s="22">
        <v>34</v>
      </c>
      <c r="J107" s="23">
        <f t="shared" si="27"/>
        <v>46177</v>
      </c>
      <c r="K107" s="23">
        <f t="shared" si="21"/>
        <v>46173</v>
      </c>
      <c r="L107" t="s">
        <v>426</v>
      </c>
    </row>
    <row r="108" spans="1:12" x14ac:dyDescent="0.25">
      <c r="A108" s="10">
        <v>46113</v>
      </c>
      <c r="B108" t="s">
        <v>201</v>
      </c>
      <c r="C108" t="s">
        <v>121</v>
      </c>
      <c r="D108" s="22">
        <v>575000</v>
      </c>
      <c r="E108" s="22">
        <f t="shared" si="23"/>
        <v>575000</v>
      </c>
      <c r="F108" s="22">
        <f t="shared" si="24"/>
        <v>103500</v>
      </c>
      <c r="G108" s="22">
        <f t="shared" si="26"/>
        <v>678500</v>
      </c>
      <c r="H108" s="22">
        <f t="shared" ref="H108:H116" si="28">G108-(E108*0.1)</f>
        <v>621000</v>
      </c>
      <c r="I108" s="22">
        <v>34</v>
      </c>
      <c r="J108" s="23">
        <f t="shared" si="27"/>
        <v>46147</v>
      </c>
      <c r="K108" s="23">
        <f t="shared" si="21"/>
        <v>46143</v>
      </c>
      <c r="L108" t="s">
        <v>426</v>
      </c>
    </row>
    <row r="109" spans="1:12" x14ac:dyDescent="0.25">
      <c r="A109" s="10">
        <v>46125</v>
      </c>
      <c r="B109" t="s">
        <v>202</v>
      </c>
      <c r="C109" t="s">
        <v>121</v>
      </c>
      <c r="D109" s="22">
        <v>312284</v>
      </c>
      <c r="E109" s="22">
        <f t="shared" si="23"/>
        <v>312284</v>
      </c>
      <c r="F109" s="22">
        <f t="shared" si="24"/>
        <v>56211.119999999995</v>
      </c>
      <c r="G109" s="22">
        <f t="shared" si="26"/>
        <v>368495.12</v>
      </c>
      <c r="H109" s="22">
        <f t="shared" si="28"/>
        <v>337266.72</v>
      </c>
      <c r="I109" s="22">
        <v>34</v>
      </c>
      <c r="J109" s="23">
        <f t="shared" si="27"/>
        <v>46159</v>
      </c>
      <c r="K109" s="23">
        <f t="shared" si="21"/>
        <v>46155</v>
      </c>
      <c r="L109" t="s">
        <v>426</v>
      </c>
    </row>
    <row r="110" spans="1:12" x14ac:dyDescent="0.25">
      <c r="A110" s="10">
        <v>46125</v>
      </c>
      <c r="B110" t="s">
        <v>203</v>
      </c>
      <c r="C110" t="s">
        <v>121</v>
      </c>
      <c r="D110" s="22">
        <v>302753</v>
      </c>
      <c r="E110" s="22">
        <f t="shared" si="23"/>
        <v>302753</v>
      </c>
      <c r="F110" s="22">
        <f t="shared" si="24"/>
        <v>54495.54</v>
      </c>
      <c r="G110" s="22">
        <f t="shared" si="26"/>
        <v>357248.54</v>
      </c>
      <c r="H110" s="22">
        <f t="shared" si="28"/>
        <v>326973.24</v>
      </c>
      <c r="I110" s="22">
        <v>34</v>
      </c>
      <c r="J110" s="23">
        <f t="shared" si="27"/>
        <v>46159</v>
      </c>
      <c r="K110" s="23">
        <f t="shared" si="21"/>
        <v>46155</v>
      </c>
      <c r="L110" t="s">
        <v>426</v>
      </c>
    </row>
    <row r="111" spans="1:12" x14ac:dyDescent="0.25">
      <c r="A111" s="10">
        <v>46125</v>
      </c>
      <c r="B111" t="s">
        <v>204</v>
      </c>
      <c r="C111" t="s">
        <v>121</v>
      </c>
      <c r="D111" s="22">
        <v>424497</v>
      </c>
      <c r="E111" s="22">
        <f t="shared" si="23"/>
        <v>424497</v>
      </c>
      <c r="F111" s="22">
        <f t="shared" si="24"/>
        <v>76409.459999999992</v>
      </c>
      <c r="G111" s="22">
        <f t="shared" si="26"/>
        <v>500906.45999999996</v>
      </c>
      <c r="H111" s="22">
        <f t="shared" si="28"/>
        <v>458456.75999999995</v>
      </c>
      <c r="I111" s="22">
        <v>34</v>
      </c>
      <c r="J111" s="23">
        <f t="shared" si="27"/>
        <v>46159</v>
      </c>
      <c r="K111" s="23">
        <f t="shared" si="21"/>
        <v>46155</v>
      </c>
      <c r="L111" t="s">
        <v>426</v>
      </c>
    </row>
    <row r="112" spans="1:12" x14ac:dyDescent="0.25">
      <c r="A112" s="10">
        <v>46125</v>
      </c>
      <c r="B112" t="s">
        <v>205</v>
      </c>
      <c r="C112" t="s">
        <v>121</v>
      </c>
      <c r="D112" s="22">
        <v>277270</v>
      </c>
      <c r="E112" s="22">
        <f t="shared" si="23"/>
        <v>277270</v>
      </c>
      <c r="F112" s="22">
        <f t="shared" si="24"/>
        <v>49908.6</v>
      </c>
      <c r="G112" s="22">
        <f t="shared" si="26"/>
        <v>327178.59999999998</v>
      </c>
      <c r="H112" s="22">
        <f t="shared" si="28"/>
        <v>299451.59999999998</v>
      </c>
      <c r="I112" s="22">
        <v>34</v>
      </c>
      <c r="J112" s="23">
        <f t="shared" si="27"/>
        <v>46159</v>
      </c>
      <c r="K112" s="23">
        <f t="shared" si="21"/>
        <v>46155</v>
      </c>
      <c r="L112" t="s">
        <v>426</v>
      </c>
    </row>
    <row r="113" spans="1:12" x14ac:dyDescent="0.25">
      <c r="A113" s="10">
        <v>46125</v>
      </c>
      <c r="B113" t="s">
        <v>206</v>
      </c>
      <c r="C113" t="s">
        <v>121</v>
      </c>
      <c r="D113" s="22">
        <v>343237</v>
      </c>
      <c r="E113" s="22">
        <f t="shared" si="23"/>
        <v>343237</v>
      </c>
      <c r="F113" s="22">
        <f t="shared" si="24"/>
        <v>61782.659999999996</v>
      </c>
      <c r="G113" s="22">
        <f t="shared" si="26"/>
        <v>405019.66</v>
      </c>
      <c r="H113" s="22">
        <f t="shared" si="28"/>
        <v>370695.95999999996</v>
      </c>
      <c r="I113" s="22">
        <v>34</v>
      </c>
      <c r="J113" s="23">
        <f t="shared" si="27"/>
        <v>46159</v>
      </c>
      <c r="K113" s="23">
        <f t="shared" si="21"/>
        <v>46155</v>
      </c>
      <c r="L113" t="s">
        <v>426</v>
      </c>
    </row>
    <row r="114" spans="1:12" x14ac:dyDescent="0.25">
      <c r="A114" s="10">
        <v>46125</v>
      </c>
      <c r="B114" t="s">
        <v>207</v>
      </c>
      <c r="C114" t="s">
        <v>121</v>
      </c>
      <c r="D114" s="22">
        <v>422250</v>
      </c>
      <c r="E114" s="22">
        <f t="shared" si="23"/>
        <v>422250</v>
      </c>
      <c r="F114" s="22">
        <f t="shared" si="24"/>
        <v>76005</v>
      </c>
      <c r="G114" s="22">
        <f t="shared" si="26"/>
        <v>498255</v>
      </c>
      <c r="H114" s="22">
        <f t="shared" si="28"/>
        <v>456030</v>
      </c>
      <c r="I114" s="22">
        <v>34</v>
      </c>
      <c r="J114" s="23">
        <f t="shared" si="27"/>
        <v>46159</v>
      </c>
      <c r="K114" s="23">
        <f t="shared" si="21"/>
        <v>46155</v>
      </c>
      <c r="L114" t="s">
        <v>426</v>
      </c>
    </row>
    <row r="115" spans="1:12" x14ac:dyDescent="0.25">
      <c r="A115" s="10">
        <v>46125</v>
      </c>
      <c r="B115" t="s">
        <v>208</v>
      </c>
      <c r="C115" t="s">
        <v>121</v>
      </c>
      <c r="D115" s="22">
        <v>383709</v>
      </c>
      <c r="E115" s="22">
        <f t="shared" ref="E115:E146" si="29">D115</f>
        <v>383709</v>
      </c>
      <c r="F115" s="22">
        <f t="shared" ref="F115:F146" si="30">E115*0.18</f>
        <v>69067.62</v>
      </c>
      <c r="G115" s="22">
        <f t="shared" si="26"/>
        <v>452776.62</v>
      </c>
      <c r="H115" s="22">
        <f t="shared" si="28"/>
        <v>414405.72</v>
      </c>
      <c r="I115" s="22">
        <v>34</v>
      </c>
      <c r="J115" s="23">
        <f t="shared" si="27"/>
        <v>46159</v>
      </c>
      <c r="K115" s="23">
        <f t="shared" si="21"/>
        <v>46155</v>
      </c>
      <c r="L115" t="s">
        <v>426</v>
      </c>
    </row>
    <row r="116" spans="1:12" x14ac:dyDescent="0.25">
      <c r="A116" s="10">
        <v>46143</v>
      </c>
      <c r="B116" t="s">
        <v>32</v>
      </c>
      <c r="C116" t="s">
        <v>121</v>
      </c>
      <c r="D116" s="22">
        <v>575000</v>
      </c>
      <c r="E116" s="22">
        <f t="shared" si="29"/>
        <v>575000</v>
      </c>
      <c r="F116" s="22">
        <f t="shared" si="30"/>
        <v>103500</v>
      </c>
      <c r="G116" s="22">
        <f t="shared" si="26"/>
        <v>678500</v>
      </c>
      <c r="H116" s="22">
        <f t="shared" si="28"/>
        <v>621000</v>
      </c>
      <c r="I116" s="22">
        <v>34</v>
      </c>
      <c r="J116" s="23">
        <f t="shared" si="27"/>
        <v>46177</v>
      </c>
      <c r="K116" s="23">
        <f t="shared" si="21"/>
        <v>46173</v>
      </c>
      <c r="L116" t="s">
        <v>426</v>
      </c>
    </row>
    <row r="117" spans="1:12" x14ac:dyDescent="0.25">
      <c r="A117" s="10">
        <v>46143</v>
      </c>
      <c r="B117" t="s">
        <v>32</v>
      </c>
      <c r="C117" t="s">
        <v>258</v>
      </c>
      <c r="D117" s="22">
        <v>372800</v>
      </c>
      <c r="E117" s="22">
        <f t="shared" si="29"/>
        <v>372800</v>
      </c>
      <c r="F117" s="22">
        <f t="shared" si="30"/>
        <v>67104</v>
      </c>
      <c r="G117" s="22">
        <f t="shared" si="26"/>
        <v>439904</v>
      </c>
      <c r="H117" s="28">
        <f>G117-(E117*0.02)</f>
        <v>432448</v>
      </c>
      <c r="I117" s="22">
        <v>35</v>
      </c>
      <c r="J117" s="23">
        <f t="shared" si="27"/>
        <v>46178</v>
      </c>
      <c r="K117" s="23">
        <f t="shared" si="21"/>
        <v>46173</v>
      </c>
      <c r="L117" t="s">
        <v>426</v>
      </c>
    </row>
    <row r="118" spans="1:12" x14ac:dyDescent="0.25">
      <c r="A118" s="10">
        <v>46113</v>
      </c>
      <c r="B118" t="s">
        <v>209</v>
      </c>
      <c r="C118" t="s">
        <v>210</v>
      </c>
      <c r="D118" s="22">
        <v>590163</v>
      </c>
      <c r="E118" s="22">
        <f t="shared" si="29"/>
        <v>590163</v>
      </c>
      <c r="F118" s="22">
        <f t="shared" si="30"/>
        <v>106229.34</v>
      </c>
      <c r="G118" s="22">
        <f t="shared" si="26"/>
        <v>696392.34</v>
      </c>
      <c r="H118" s="22">
        <f>G118-(E118*0.02)</f>
        <v>684589.08</v>
      </c>
      <c r="I118" s="22">
        <v>34</v>
      </c>
      <c r="J118" s="23">
        <f t="shared" si="27"/>
        <v>46147</v>
      </c>
      <c r="K118" s="23">
        <f t="shared" si="21"/>
        <v>46143</v>
      </c>
      <c r="L118" t="s">
        <v>426</v>
      </c>
    </row>
    <row r="119" spans="1:12" x14ac:dyDescent="0.25">
      <c r="A119" s="10">
        <v>46143</v>
      </c>
      <c r="B119" t="s">
        <v>32</v>
      </c>
      <c r="C119" t="s">
        <v>223</v>
      </c>
      <c r="D119" s="22">
        <v>250000</v>
      </c>
      <c r="E119" s="22">
        <f t="shared" si="29"/>
        <v>250000</v>
      </c>
      <c r="F119" s="22">
        <f t="shared" si="30"/>
        <v>45000</v>
      </c>
      <c r="G119" s="22">
        <f t="shared" si="26"/>
        <v>295000</v>
      </c>
      <c r="H119" s="28">
        <f>G119-(E119*0.02)</f>
        <v>290000</v>
      </c>
      <c r="I119" s="22">
        <v>35</v>
      </c>
      <c r="J119" s="23">
        <f t="shared" si="27"/>
        <v>46178</v>
      </c>
      <c r="K119" s="23">
        <f t="shared" si="21"/>
        <v>46173</v>
      </c>
      <c r="L119" t="s">
        <v>426</v>
      </c>
    </row>
    <row r="120" spans="1:12" x14ac:dyDescent="0.25">
      <c r="A120" s="10">
        <v>46090</v>
      </c>
      <c r="B120" t="s">
        <v>211</v>
      </c>
      <c r="C120" t="s">
        <v>212</v>
      </c>
      <c r="D120" s="22">
        <v>963200</v>
      </c>
      <c r="E120" s="22">
        <f t="shared" si="29"/>
        <v>963200</v>
      </c>
      <c r="F120" s="22">
        <f t="shared" si="30"/>
        <v>173376</v>
      </c>
      <c r="G120" s="22">
        <f t="shared" si="26"/>
        <v>1136576</v>
      </c>
      <c r="H120" s="22">
        <f>G120-(E120*0.1)</f>
        <v>1040256</v>
      </c>
      <c r="I120" s="22">
        <v>45</v>
      </c>
      <c r="J120" s="23">
        <f t="shared" si="27"/>
        <v>46135</v>
      </c>
      <c r="K120" s="23">
        <f t="shared" si="21"/>
        <v>46120</v>
      </c>
      <c r="L120" t="s">
        <v>426</v>
      </c>
    </row>
    <row r="121" spans="1:12" x14ac:dyDescent="0.25">
      <c r="A121" s="20">
        <v>46142</v>
      </c>
      <c r="B121" t="s">
        <v>32</v>
      </c>
      <c r="C121" t="s">
        <v>287</v>
      </c>
      <c r="D121" s="22">
        <v>200000</v>
      </c>
      <c r="E121" s="22">
        <f t="shared" si="29"/>
        <v>200000</v>
      </c>
      <c r="F121" s="22">
        <f t="shared" si="30"/>
        <v>36000</v>
      </c>
      <c r="G121" s="22">
        <f t="shared" si="26"/>
        <v>236000</v>
      </c>
      <c r="H121" s="22">
        <f>G121-(E121*0.02)</f>
        <v>232000</v>
      </c>
      <c r="I121" s="24">
        <v>45</v>
      </c>
      <c r="J121" s="23">
        <f t="shared" si="27"/>
        <v>46187</v>
      </c>
      <c r="K121" s="23">
        <f t="shared" si="21"/>
        <v>46172</v>
      </c>
      <c r="L121" t="s">
        <v>426</v>
      </c>
    </row>
    <row r="122" spans="1:12" x14ac:dyDescent="0.25">
      <c r="A122" s="20">
        <v>46122</v>
      </c>
      <c r="B122" t="s">
        <v>32</v>
      </c>
      <c r="C122" s="21" t="s">
        <v>39</v>
      </c>
      <c r="D122" s="22">
        <v>176400</v>
      </c>
      <c r="E122" s="22">
        <f t="shared" si="29"/>
        <v>176400</v>
      </c>
      <c r="F122" s="22">
        <f t="shared" si="30"/>
        <v>31752</v>
      </c>
      <c r="G122" s="22">
        <f t="shared" si="26"/>
        <v>208152</v>
      </c>
      <c r="H122" s="22">
        <f>G122-(E122*0.1)</f>
        <v>190512</v>
      </c>
      <c r="I122" s="22">
        <v>45</v>
      </c>
      <c r="J122" s="23">
        <v>46167</v>
      </c>
      <c r="K122" s="23">
        <f t="shared" si="21"/>
        <v>46152</v>
      </c>
      <c r="L122" t="s">
        <v>426</v>
      </c>
    </row>
    <row r="123" spans="1:12" x14ac:dyDescent="0.25">
      <c r="A123" s="10">
        <v>46143</v>
      </c>
      <c r="B123" t="s">
        <v>32</v>
      </c>
      <c r="C123" t="s">
        <v>245</v>
      </c>
      <c r="D123" s="22">
        <v>189400</v>
      </c>
      <c r="E123" s="22">
        <f t="shared" si="29"/>
        <v>189400</v>
      </c>
      <c r="F123" s="22">
        <f t="shared" si="30"/>
        <v>34092</v>
      </c>
      <c r="G123" s="22">
        <f t="shared" si="26"/>
        <v>223492</v>
      </c>
      <c r="H123" s="28">
        <f>G123-(E123*0.02)</f>
        <v>219704</v>
      </c>
      <c r="I123" s="22">
        <v>35</v>
      </c>
      <c r="J123" s="23">
        <f>A123+I123</f>
        <v>46178</v>
      </c>
      <c r="K123" s="23">
        <f t="shared" si="21"/>
        <v>46173</v>
      </c>
      <c r="L123" t="s">
        <v>426</v>
      </c>
    </row>
    <row r="124" spans="1:12" x14ac:dyDescent="0.25">
      <c r="A124" s="20">
        <v>46119</v>
      </c>
      <c r="B124" t="s">
        <v>213</v>
      </c>
      <c r="C124" s="21" t="s">
        <v>132</v>
      </c>
      <c r="D124" s="22">
        <v>103125</v>
      </c>
      <c r="E124" s="22">
        <v>40000</v>
      </c>
      <c r="F124" s="22">
        <v>7200</v>
      </c>
      <c r="G124" s="22">
        <v>47200</v>
      </c>
      <c r="H124" s="22">
        <v>46400</v>
      </c>
      <c r="I124" s="22">
        <v>45</v>
      </c>
      <c r="J124" s="23">
        <v>46167</v>
      </c>
      <c r="K124" s="23">
        <f t="shared" si="21"/>
        <v>46149</v>
      </c>
      <c r="L124" t="s">
        <v>426</v>
      </c>
    </row>
    <row r="125" spans="1:12" x14ac:dyDescent="0.25">
      <c r="A125" s="10">
        <v>46143</v>
      </c>
      <c r="B125" t="s">
        <v>32</v>
      </c>
      <c r="C125" t="s">
        <v>161</v>
      </c>
      <c r="D125" s="22">
        <v>191250</v>
      </c>
      <c r="E125" s="22">
        <f t="shared" ref="E125:E163" si="31">D125</f>
        <v>191250</v>
      </c>
      <c r="F125" s="22">
        <f t="shared" ref="F125:F163" si="32">E125*0.18</f>
        <v>34425</v>
      </c>
      <c r="G125" s="22">
        <f t="shared" ref="G125:G163" si="33">SUM(E125:F125)</f>
        <v>225675</v>
      </c>
      <c r="H125" s="28">
        <f>G125-(E125*0.1)</f>
        <v>206550</v>
      </c>
      <c r="I125" s="22">
        <v>35</v>
      </c>
      <c r="J125" s="23">
        <f>A125+I125</f>
        <v>46178</v>
      </c>
      <c r="K125" s="23">
        <f t="shared" si="21"/>
        <v>46173</v>
      </c>
      <c r="L125" t="s">
        <v>426</v>
      </c>
    </row>
    <row r="126" spans="1:12" x14ac:dyDescent="0.25">
      <c r="A126" s="20">
        <v>46119</v>
      </c>
      <c r="B126" t="s">
        <v>214</v>
      </c>
      <c r="C126" t="s">
        <v>215</v>
      </c>
      <c r="D126" s="22">
        <v>2415612</v>
      </c>
      <c r="E126" s="22">
        <f t="shared" si="31"/>
        <v>2415612</v>
      </c>
      <c r="F126" s="22">
        <f t="shared" si="32"/>
        <v>434810.16</v>
      </c>
      <c r="G126" s="22">
        <f t="shared" si="33"/>
        <v>2850422.16</v>
      </c>
      <c r="H126" s="22">
        <f>G126-(E126*0.02)</f>
        <v>2802109.92</v>
      </c>
      <c r="I126" s="22">
        <v>45</v>
      </c>
      <c r="J126" s="23">
        <f>A126+I126</f>
        <v>46164</v>
      </c>
      <c r="K126" s="23">
        <f t="shared" si="21"/>
        <v>46149</v>
      </c>
      <c r="L126" t="s">
        <v>426</v>
      </c>
    </row>
    <row r="127" spans="1:12" x14ac:dyDescent="0.25">
      <c r="A127" s="10">
        <v>46143</v>
      </c>
      <c r="B127" t="s">
        <v>32</v>
      </c>
      <c r="C127" t="s">
        <v>271</v>
      </c>
      <c r="D127" s="22">
        <v>176000</v>
      </c>
      <c r="E127" s="22">
        <f t="shared" si="31"/>
        <v>176000</v>
      </c>
      <c r="F127" s="22">
        <f t="shared" si="32"/>
        <v>31680</v>
      </c>
      <c r="G127" s="22">
        <f t="shared" si="33"/>
        <v>207680</v>
      </c>
      <c r="H127" s="28">
        <f>G127-(E127*0.02)</f>
        <v>204160</v>
      </c>
      <c r="I127" s="24">
        <v>47</v>
      </c>
      <c r="J127" s="23">
        <f>A127+I127</f>
        <v>46190</v>
      </c>
      <c r="K127" s="23">
        <f t="shared" si="21"/>
        <v>46173</v>
      </c>
      <c r="L127" t="s">
        <v>426</v>
      </c>
    </row>
    <row r="128" spans="1:12" x14ac:dyDescent="0.25">
      <c r="A128" s="20">
        <v>46113</v>
      </c>
      <c r="B128" t="s">
        <v>216</v>
      </c>
      <c r="C128" t="s">
        <v>217</v>
      </c>
      <c r="D128" s="22">
        <v>2554017.5</v>
      </c>
      <c r="E128" s="22">
        <f t="shared" si="31"/>
        <v>2554017.5</v>
      </c>
      <c r="F128" s="22">
        <f t="shared" si="32"/>
        <v>459723.14999999997</v>
      </c>
      <c r="G128" s="22">
        <f t="shared" si="33"/>
        <v>3013740.65</v>
      </c>
      <c r="H128" s="28">
        <f>G128-(E128*0.1)</f>
        <v>2758338.9</v>
      </c>
      <c r="I128" s="22">
        <v>39</v>
      </c>
      <c r="J128" s="23">
        <f>A128+I128</f>
        <v>46152</v>
      </c>
      <c r="K128" s="23">
        <f t="shared" si="21"/>
        <v>46143</v>
      </c>
      <c r="L128" t="s">
        <v>426</v>
      </c>
    </row>
    <row r="129" spans="1:12" x14ac:dyDescent="0.25">
      <c r="A129" s="10">
        <v>46143</v>
      </c>
      <c r="B129" t="s">
        <v>32</v>
      </c>
      <c r="C129" s="21" t="s">
        <v>39</v>
      </c>
      <c r="D129" s="22">
        <v>176400</v>
      </c>
      <c r="E129" s="22">
        <f t="shared" si="31"/>
        <v>176400</v>
      </c>
      <c r="F129" s="22">
        <f t="shared" si="32"/>
        <v>31752</v>
      </c>
      <c r="G129" s="22">
        <f t="shared" si="33"/>
        <v>208152</v>
      </c>
      <c r="H129" s="22">
        <f>G129-(E129*0.1)</f>
        <v>190512</v>
      </c>
      <c r="I129" s="22">
        <v>34</v>
      </c>
      <c r="J129" s="23">
        <v>46177</v>
      </c>
      <c r="K129" s="23">
        <f t="shared" si="21"/>
        <v>46173</v>
      </c>
      <c r="L129" t="s">
        <v>426</v>
      </c>
    </row>
    <row r="130" spans="1:12" x14ac:dyDescent="0.25">
      <c r="A130" s="10">
        <v>46113</v>
      </c>
      <c r="B130" t="s">
        <v>32</v>
      </c>
      <c r="C130" t="s">
        <v>121</v>
      </c>
      <c r="D130" s="22">
        <f>188000*3</f>
        <v>564000</v>
      </c>
      <c r="E130" s="22">
        <f t="shared" si="31"/>
        <v>564000</v>
      </c>
      <c r="F130" s="22">
        <f t="shared" si="32"/>
        <v>101520</v>
      </c>
      <c r="G130" s="22">
        <f t="shared" si="33"/>
        <v>665520</v>
      </c>
      <c r="H130" s="22">
        <f>G130-(E130*0.1)</f>
        <v>609120</v>
      </c>
      <c r="I130" s="22">
        <v>34</v>
      </c>
      <c r="J130" s="23">
        <f t="shared" ref="J130:J163" si="34">A130+I130</f>
        <v>46147</v>
      </c>
      <c r="K130" s="23">
        <f t="shared" si="21"/>
        <v>46143</v>
      </c>
      <c r="L130" t="s">
        <v>426</v>
      </c>
    </row>
    <row r="131" spans="1:12" x14ac:dyDescent="0.25">
      <c r="A131" s="20">
        <v>46122</v>
      </c>
      <c r="B131" t="s">
        <v>32</v>
      </c>
      <c r="C131" t="s">
        <v>221</v>
      </c>
      <c r="D131" s="22">
        <f>723450+304500</f>
        <v>1027950</v>
      </c>
      <c r="E131" s="22">
        <f t="shared" si="31"/>
        <v>1027950</v>
      </c>
      <c r="F131" s="22">
        <f t="shared" si="32"/>
        <v>185031</v>
      </c>
      <c r="G131" s="22">
        <f t="shared" si="33"/>
        <v>1212981</v>
      </c>
      <c r="H131" s="22">
        <f>G131-(E131*0.02)</f>
        <v>1192422</v>
      </c>
      <c r="I131" s="22">
        <v>20</v>
      </c>
      <c r="J131" s="23">
        <f t="shared" si="34"/>
        <v>46142</v>
      </c>
      <c r="K131" s="23">
        <f t="shared" si="21"/>
        <v>46152</v>
      </c>
      <c r="L131" t="s">
        <v>426</v>
      </c>
    </row>
    <row r="132" spans="1:12" x14ac:dyDescent="0.25">
      <c r="A132" s="10">
        <v>46143</v>
      </c>
      <c r="B132" t="s">
        <v>32</v>
      </c>
      <c r="C132" t="s">
        <v>221</v>
      </c>
      <c r="D132" s="22">
        <f>723450+304500</f>
        <v>1027950</v>
      </c>
      <c r="E132" s="22">
        <f t="shared" si="31"/>
        <v>1027950</v>
      </c>
      <c r="F132" s="22">
        <f t="shared" si="32"/>
        <v>185031</v>
      </c>
      <c r="G132" s="22">
        <f t="shared" si="33"/>
        <v>1212981</v>
      </c>
      <c r="H132" s="22">
        <f>G132-(E132*0.02)</f>
        <v>1192422</v>
      </c>
      <c r="I132" s="22">
        <v>20</v>
      </c>
      <c r="J132" s="23">
        <f t="shared" si="34"/>
        <v>46163</v>
      </c>
      <c r="K132" s="23">
        <f t="shared" si="21"/>
        <v>46173</v>
      </c>
      <c r="L132" t="s">
        <v>426</v>
      </c>
    </row>
    <row r="133" spans="1:12" x14ac:dyDescent="0.25">
      <c r="A133" s="10">
        <v>46143</v>
      </c>
      <c r="B133" t="s">
        <v>32</v>
      </c>
      <c r="C133" t="s">
        <v>262</v>
      </c>
      <c r="D133" s="22">
        <v>150000</v>
      </c>
      <c r="E133" s="22">
        <f t="shared" si="31"/>
        <v>150000</v>
      </c>
      <c r="F133" s="22">
        <f t="shared" si="32"/>
        <v>27000</v>
      </c>
      <c r="G133" s="22">
        <f t="shared" si="33"/>
        <v>177000</v>
      </c>
      <c r="H133" s="28">
        <f>G133-(E133*0.02)</f>
        <v>174000</v>
      </c>
      <c r="I133" s="22">
        <v>35</v>
      </c>
      <c r="J133" s="23">
        <f t="shared" si="34"/>
        <v>46178</v>
      </c>
      <c r="K133" s="23">
        <f t="shared" si="21"/>
        <v>46173</v>
      </c>
      <c r="L133" t="s">
        <v>426</v>
      </c>
    </row>
    <row r="134" spans="1:12" x14ac:dyDescent="0.25">
      <c r="A134" s="10">
        <v>46113</v>
      </c>
      <c r="B134" t="s">
        <v>222</v>
      </c>
      <c r="C134" t="s">
        <v>223</v>
      </c>
      <c r="D134" s="22">
        <v>250000</v>
      </c>
      <c r="E134" s="22">
        <f t="shared" si="31"/>
        <v>250000</v>
      </c>
      <c r="F134" s="22">
        <f t="shared" si="32"/>
        <v>45000</v>
      </c>
      <c r="G134" s="22">
        <f t="shared" si="33"/>
        <v>295000</v>
      </c>
      <c r="H134" s="28">
        <f>G134-(E134*0.02)</f>
        <v>290000</v>
      </c>
      <c r="I134" s="22">
        <v>35</v>
      </c>
      <c r="J134" s="23">
        <f t="shared" si="34"/>
        <v>46148</v>
      </c>
      <c r="K134" s="23">
        <f t="shared" si="21"/>
        <v>46143</v>
      </c>
      <c r="L134" t="s">
        <v>426</v>
      </c>
    </row>
    <row r="135" spans="1:12" x14ac:dyDescent="0.25">
      <c r="A135" s="10">
        <v>46143</v>
      </c>
      <c r="B135" t="s">
        <v>32</v>
      </c>
      <c r="C135" t="s">
        <v>237</v>
      </c>
      <c r="D135" s="22">
        <v>123200</v>
      </c>
      <c r="E135" s="22">
        <f t="shared" si="31"/>
        <v>123200</v>
      </c>
      <c r="F135" s="22">
        <f t="shared" si="32"/>
        <v>22176</v>
      </c>
      <c r="G135" s="22">
        <f t="shared" si="33"/>
        <v>145376</v>
      </c>
      <c r="H135" s="28">
        <f>G135-(E135*0.1)</f>
        <v>133056</v>
      </c>
      <c r="I135" s="22">
        <v>35</v>
      </c>
      <c r="J135" s="23">
        <f t="shared" si="34"/>
        <v>46178</v>
      </c>
      <c r="K135" s="23">
        <f t="shared" ref="K135:K198" si="35">+A135+30</f>
        <v>46173</v>
      </c>
      <c r="L135" t="s">
        <v>426</v>
      </c>
    </row>
    <row r="136" spans="1:12" x14ac:dyDescent="0.25">
      <c r="A136" s="20">
        <v>46122</v>
      </c>
      <c r="B136" t="s">
        <v>32</v>
      </c>
      <c r="C136" t="s">
        <v>224</v>
      </c>
      <c r="D136" s="22">
        <v>20000</v>
      </c>
      <c r="E136" s="22">
        <f t="shared" si="31"/>
        <v>20000</v>
      </c>
      <c r="F136" s="22">
        <f t="shared" si="32"/>
        <v>3600</v>
      </c>
      <c r="G136" s="22">
        <f t="shared" si="33"/>
        <v>23600</v>
      </c>
      <c r="H136" s="28">
        <f t="shared" ref="H136:H143" si="36">G136-(E136*0.02)</f>
        <v>23200</v>
      </c>
      <c r="I136" s="22">
        <v>35</v>
      </c>
      <c r="J136" s="23">
        <f t="shared" si="34"/>
        <v>46157</v>
      </c>
      <c r="K136" s="23">
        <f t="shared" si="35"/>
        <v>46152</v>
      </c>
      <c r="L136" t="s">
        <v>426</v>
      </c>
    </row>
    <row r="137" spans="1:12" x14ac:dyDescent="0.25">
      <c r="A137" s="10">
        <v>46143</v>
      </c>
      <c r="B137" t="s">
        <v>32</v>
      </c>
      <c r="C137" t="s">
        <v>35</v>
      </c>
      <c r="D137" s="22">
        <v>105000</v>
      </c>
      <c r="E137" s="22">
        <f t="shared" si="31"/>
        <v>105000</v>
      </c>
      <c r="F137" s="22">
        <f t="shared" si="32"/>
        <v>18900</v>
      </c>
      <c r="G137" s="22">
        <f t="shared" si="33"/>
        <v>123900</v>
      </c>
      <c r="H137" s="22">
        <f t="shared" si="36"/>
        <v>121800</v>
      </c>
      <c r="I137" s="22">
        <v>34</v>
      </c>
      <c r="J137" s="23">
        <f t="shared" si="34"/>
        <v>46177</v>
      </c>
      <c r="K137" s="23">
        <f t="shared" si="35"/>
        <v>46173</v>
      </c>
      <c r="L137" t="s">
        <v>426</v>
      </c>
    </row>
    <row r="138" spans="1:12" x14ac:dyDescent="0.25">
      <c r="A138" s="20">
        <v>46113</v>
      </c>
      <c r="B138" t="s">
        <v>225</v>
      </c>
      <c r="C138" t="s">
        <v>226</v>
      </c>
      <c r="D138" s="22">
        <v>54500</v>
      </c>
      <c r="E138" s="22">
        <f t="shared" si="31"/>
        <v>54500</v>
      </c>
      <c r="F138" s="22">
        <f t="shared" si="32"/>
        <v>9810</v>
      </c>
      <c r="G138" s="22">
        <f t="shared" si="33"/>
        <v>64310</v>
      </c>
      <c r="H138" s="28">
        <f t="shared" si="36"/>
        <v>63220</v>
      </c>
      <c r="I138" s="22">
        <v>34</v>
      </c>
      <c r="J138" s="23">
        <f t="shared" si="34"/>
        <v>46147</v>
      </c>
      <c r="K138" s="23">
        <f t="shared" si="35"/>
        <v>46143</v>
      </c>
      <c r="L138" t="s">
        <v>426</v>
      </c>
    </row>
    <row r="139" spans="1:12" x14ac:dyDescent="0.25">
      <c r="A139" s="10">
        <v>46143</v>
      </c>
      <c r="B139" t="s">
        <v>32</v>
      </c>
      <c r="C139" t="s">
        <v>189</v>
      </c>
      <c r="D139" s="22">
        <v>100000</v>
      </c>
      <c r="E139" s="22">
        <f t="shared" si="31"/>
        <v>100000</v>
      </c>
      <c r="F139" s="22">
        <f t="shared" si="32"/>
        <v>18000</v>
      </c>
      <c r="G139" s="22">
        <f t="shared" si="33"/>
        <v>118000</v>
      </c>
      <c r="H139" s="28">
        <f t="shared" si="36"/>
        <v>116000</v>
      </c>
      <c r="I139" s="22">
        <v>34</v>
      </c>
      <c r="J139" s="23">
        <f t="shared" si="34"/>
        <v>46177</v>
      </c>
      <c r="K139" s="23">
        <f t="shared" si="35"/>
        <v>46173</v>
      </c>
      <c r="L139" t="s">
        <v>426</v>
      </c>
    </row>
    <row r="140" spans="1:12" x14ac:dyDescent="0.25">
      <c r="A140" s="10">
        <v>46143</v>
      </c>
      <c r="B140" t="s">
        <v>32</v>
      </c>
      <c r="C140" t="s">
        <v>260</v>
      </c>
      <c r="D140" s="22">
        <v>96950</v>
      </c>
      <c r="E140" s="22">
        <f t="shared" si="31"/>
        <v>96950</v>
      </c>
      <c r="F140" s="22">
        <f t="shared" si="32"/>
        <v>17451</v>
      </c>
      <c r="G140" s="22">
        <f t="shared" si="33"/>
        <v>114401</v>
      </c>
      <c r="H140" s="28">
        <f t="shared" si="36"/>
        <v>112462</v>
      </c>
      <c r="I140" s="22">
        <v>35</v>
      </c>
      <c r="J140" s="23">
        <f t="shared" si="34"/>
        <v>46178</v>
      </c>
      <c r="K140" s="23">
        <f t="shared" si="35"/>
        <v>46173</v>
      </c>
      <c r="L140" t="s">
        <v>426</v>
      </c>
    </row>
    <row r="141" spans="1:12" x14ac:dyDescent="0.25">
      <c r="A141" s="20">
        <v>46113</v>
      </c>
      <c r="B141" t="s">
        <v>228</v>
      </c>
      <c r="C141" t="s">
        <v>229</v>
      </c>
      <c r="D141" s="22">
        <v>28400</v>
      </c>
      <c r="E141" s="22">
        <f t="shared" si="31"/>
        <v>28400</v>
      </c>
      <c r="F141" s="22">
        <f t="shared" si="32"/>
        <v>5112</v>
      </c>
      <c r="G141" s="22">
        <f t="shared" si="33"/>
        <v>33512</v>
      </c>
      <c r="H141" s="28">
        <f t="shared" si="36"/>
        <v>32944</v>
      </c>
      <c r="I141" s="22">
        <v>35</v>
      </c>
      <c r="J141" s="23">
        <f t="shared" si="34"/>
        <v>46148</v>
      </c>
      <c r="K141" s="23">
        <f t="shared" si="35"/>
        <v>46143</v>
      </c>
      <c r="L141" t="s">
        <v>426</v>
      </c>
    </row>
    <row r="142" spans="1:12" x14ac:dyDescent="0.25">
      <c r="A142" s="10">
        <v>46143</v>
      </c>
      <c r="B142" t="s">
        <v>32</v>
      </c>
      <c r="C142" t="s">
        <v>239</v>
      </c>
      <c r="D142" s="22">
        <v>95000</v>
      </c>
      <c r="E142" s="22">
        <f t="shared" si="31"/>
        <v>95000</v>
      </c>
      <c r="F142" s="22">
        <f t="shared" si="32"/>
        <v>17100</v>
      </c>
      <c r="G142" s="22">
        <f t="shared" si="33"/>
        <v>112100</v>
      </c>
      <c r="H142" s="28">
        <f t="shared" si="36"/>
        <v>110200</v>
      </c>
      <c r="I142" s="22">
        <v>35</v>
      </c>
      <c r="J142" s="23">
        <f t="shared" si="34"/>
        <v>46178</v>
      </c>
      <c r="K142" s="23">
        <f t="shared" si="35"/>
        <v>46173</v>
      </c>
      <c r="L142" t="s">
        <v>426</v>
      </c>
    </row>
    <row r="143" spans="1:12" x14ac:dyDescent="0.25">
      <c r="A143" s="20">
        <v>46113</v>
      </c>
      <c r="B143" t="s">
        <v>230</v>
      </c>
      <c r="C143" t="s">
        <v>231</v>
      </c>
      <c r="D143" s="22">
        <v>40000</v>
      </c>
      <c r="E143" s="22">
        <f t="shared" si="31"/>
        <v>40000</v>
      </c>
      <c r="F143" s="22">
        <f t="shared" si="32"/>
        <v>7200</v>
      </c>
      <c r="G143" s="22">
        <f t="shared" si="33"/>
        <v>47200</v>
      </c>
      <c r="H143" s="28">
        <f t="shared" si="36"/>
        <v>46400</v>
      </c>
      <c r="I143" s="22">
        <v>35</v>
      </c>
      <c r="J143" s="23">
        <f t="shared" si="34"/>
        <v>46148</v>
      </c>
      <c r="K143" s="23">
        <f t="shared" si="35"/>
        <v>46143</v>
      </c>
      <c r="L143" t="s">
        <v>426</v>
      </c>
    </row>
    <row r="144" spans="1:12" x14ac:dyDescent="0.25">
      <c r="A144" s="10">
        <v>46143</v>
      </c>
      <c r="B144" t="s">
        <v>32</v>
      </c>
      <c r="C144" t="s">
        <v>252</v>
      </c>
      <c r="D144" s="22">
        <v>100000</v>
      </c>
      <c r="E144" s="22">
        <f t="shared" si="31"/>
        <v>100000</v>
      </c>
      <c r="F144" s="22">
        <f t="shared" si="32"/>
        <v>18000</v>
      </c>
      <c r="G144" s="22">
        <f t="shared" si="33"/>
        <v>118000</v>
      </c>
      <c r="H144" s="28">
        <f>G144-(E144*0.1)</f>
        <v>108000</v>
      </c>
      <c r="I144" s="22">
        <v>35</v>
      </c>
      <c r="J144" s="23">
        <f t="shared" si="34"/>
        <v>46178</v>
      </c>
      <c r="K144" s="23">
        <f t="shared" si="35"/>
        <v>46173</v>
      </c>
      <c r="L144" t="s">
        <v>426</v>
      </c>
    </row>
    <row r="145" spans="1:12" x14ac:dyDescent="0.25">
      <c r="A145" s="10">
        <v>46143</v>
      </c>
      <c r="B145" t="s">
        <v>32</v>
      </c>
      <c r="C145" t="s">
        <v>227</v>
      </c>
      <c r="D145" s="22">
        <v>72000</v>
      </c>
      <c r="E145" s="22">
        <f t="shared" si="31"/>
        <v>72000</v>
      </c>
      <c r="F145" s="22">
        <f t="shared" si="32"/>
        <v>12960</v>
      </c>
      <c r="G145" s="22">
        <f t="shared" si="33"/>
        <v>84960</v>
      </c>
      <c r="H145" s="28">
        <f>G145-(E145*0.02)</f>
        <v>83520</v>
      </c>
      <c r="I145" s="22">
        <v>35</v>
      </c>
      <c r="J145" s="23">
        <f t="shared" si="34"/>
        <v>46178</v>
      </c>
      <c r="K145" s="23">
        <f t="shared" si="35"/>
        <v>46173</v>
      </c>
      <c r="L145" t="s">
        <v>426</v>
      </c>
    </row>
    <row r="146" spans="1:12" x14ac:dyDescent="0.25">
      <c r="A146" s="10">
        <v>46113</v>
      </c>
      <c r="B146" t="s">
        <v>233</v>
      </c>
      <c r="C146" t="s">
        <v>27</v>
      </c>
      <c r="D146" s="22">
        <v>33200</v>
      </c>
      <c r="E146" s="22">
        <f t="shared" si="31"/>
        <v>33200</v>
      </c>
      <c r="F146" s="22">
        <f t="shared" si="32"/>
        <v>5976</v>
      </c>
      <c r="G146" s="22">
        <f t="shared" si="33"/>
        <v>39176</v>
      </c>
      <c r="H146" s="28">
        <f>G146-(E146*0.02)</f>
        <v>38512</v>
      </c>
      <c r="I146" s="22">
        <v>35</v>
      </c>
      <c r="J146" s="23">
        <f t="shared" si="34"/>
        <v>46148</v>
      </c>
      <c r="K146" s="23">
        <f t="shared" si="35"/>
        <v>46143</v>
      </c>
      <c r="L146" t="s">
        <v>426</v>
      </c>
    </row>
    <row r="147" spans="1:12" x14ac:dyDescent="0.25">
      <c r="A147" s="10">
        <v>46143</v>
      </c>
      <c r="B147" t="s">
        <v>32</v>
      </c>
      <c r="C147" t="s">
        <v>258</v>
      </c>
      <c r="D147" s="22">
        <f>71400</f>
        <v>71400</v>
      </c>
      <c r="E147" s="22">
        <f t="shared" si="31"/>
        <v>71400</v>
      </c>
      <c r="F147" s="22">
        <f t="shared" si="32"/>
        <v>12852</v>
      </c>
      <c r="G147" s="22">
        <f t="shared" si="33"/>
        <v>84252</v>
      </c>
      <c r="H147" s="28">
        <f>G147-(E147*0.02)</f>
        <v>82824</v>
      </c>
      <c r="I147" s="22">
        <v>35</v>
      </c>
      <c r="J147" s="23">
        <f t="shared" si="34"/>
        <v>46178</v>
      </c>
      <c r="K147" s="23">
        <f t="shared" si="35"/>
        <v>46173</v>
      </c>
      <c r="L147" t="s">
        <v>426</v>
      </c>
    </row>
    <row r="148" spans="1:12" x14ac:dyDescent="0.25">
      <c r="A148" s="20">
        <v>46119</v>
      </c>
      <c r="B148" t="s">
        <v>234</v>
      </c>
      <c r="C148" t="s">
        <v>235</v>
      </c>
      <c r="D148" s="22">
        <v>36155</v>
      </c>
      <c r="E148" s="22">
        <f t="shared" si="31"/>
        <v>36155</v>
      </c>
      <c r="F148" s="22">
        <f t="shared" si="32"/>
        <v>6507.9</v>
      </c>
      <c r="G148" s="22">
        <f t="shared" si="33"/>
        <v>42662.9</v>
      </c>
      <c r="H148" s="28">
        <f>G148-(E148*0.02)</f>
        <v>41939.800000000003</v>
      </c>
      <c r="I148" s="22">
        <v>35</v>
      </c>
      <c r="J148" s="23">
        <f t="shared" si="34"/>
        <v>46154</v>
      </c>
      <c r="K148" s="23">
        <f t="shared" si="35"/>
        <v>46149</v>
      </c>
      <c r="L148" t="s">
        <v>426</v>
      </c>
    </row>
    <row r="149" spans="1:12" x14ac:dyDescent="0.25">
      <c r="A149" s="20">
        <v>46113</v>
      </c>
      <c r="B149" t="s">
        <v>186</v>
      </c>
      <c r="C149" t="s">
        <v>187</v>
      </c>
      <c r="D149" s="22">
        <v>60000</v>
      </c>
      <c r="E149" s="22">
        <f t="shared" si="31"/>
        <v>60000</v>
      </c>
      <c r="F149" s="22">
        <f t="shared" si="32"/>
        <v>10800</v>
      </c>
      <c r="G149" s="22">
        <f t="shared" si="33"/>
        <v>70800</v>
      </c>
      <c r="H149" s="28">
        <f>G149-(E149*0.02)</f>
        <v>69600</v>
      </c>
      <c r="I149" s="22">
        <v>68</v>
      </c>
      <c r="J149" s="23">
        <f t="shared" si="34"/>
        <v>46181</v>
      </c>
      <c r="K149" s="23">
        <f t="shared" si="35"/>
        <v>46143</v>
      </c>
      <c r="L149" t="s">
        <v>426</v>
      </c>
    </row>
    <row r="150" spans="1:12" x14ac:dyDescent="0.25">
      <c r="A150" s="20">
        <v>46113</v>
      </c>
      <c r="B150" t="s">
        <v>236</v>
      </c>
      <c r="C150" t="s">
        <v>237</v>
      </c>
      <c r="D150" s="22">
        <v>157200</v>
      </c>
      <c r="E150" s="22">
        <f t="shared" si="31"/>
        <v>157200</v>
      </c>
      <c r="F150" s="22">
        <f t="shared" si="32"/>
        <v>28296</v>
      </c>
      <c r="G150" s="22">
        <f t="shared" si="33"/>
        <v>185496</v>
      </c>
      <c r="H150" s="28">
        <f>G150-(E150*0.1)</f>
        <v>169776</v>
      </c>
      <c r="I150" s="22">
        <v>25</v>
      </c>
      <c r="J150" s="23">
        <f t="shared" si="34"/>
        <v>46138</v>
      </c>
      <c r="K150" s="23">
        <f t="shared" si="35"/>
        <v>46143</v>
      </c>
      <c r="L150" t="s">
        <v>426</v>
      </c>
    </row>
    <row r="151" spans="1:12" x14ac:dyDescent="0.25">
      <c r="A151" s="20">
        <v>46143</v>
      </c>
      <c r="B151" t="s">
        <v>32</v>
      </c>
      <c r="C151" t="s">
        <v>158</v>
      </c>
      <c r="D151" s="22">
        <v>60000</v>
      </c>
      <c r="E151" s="22">
        <f t="shared" si="31"/>
        <v>60000</v>
      </c>
      <c r="F151" s="22">
        <f t="shared" si="32"/>
        <v>10800</v>
      </c>
      <c r="G151" s="22">
        <f t="shared" si="33"/>
        <v>70800</v>
      </c>
      <c r="H151" s="28">
        <f t="shared" ref="H151:H163" si="37">G151-(E151*0.02)</f>
        <v>69600</v>
      </c>
      <c r="I151" s="22">
        <v>34</v>
      </c>
      <c r="J151" s="23">
        <f t="shared" si="34"/>
        <v>46177</v>
      </c>
      <c r="K151" s="23">
        <f t="shared" si="35"/>
        <v>46173</v>
      </c>
      <c r="L151" t="s">
        <v>426</v>
      </c>
    </row>
    <row r="152" spans="1:12" x14ac:dyDescent="0.25">
      <c r="A152" s="10">
        <v>46113</v>
      </c>
      <c r="B152" t="s">
        <v>238</v>
      </c>
      <c r="C152" t="s">
        <v>239</v>
      </c>
      <c r="D152" s="22">
        <v>95000</v>
      </c>
      <c r="E152" s="22">
        <f t="shared" si="31"/>
        <v>95000</v>
      </c>
      <c r="F152" s="22">
        <f t="shared" si="32"/>
        <v>17100</v>
      </c>
      <c r="G152" s="22">
        <f t="shared" si="33"/>
        <v>112100</v>
      </c>
      <c r="H152" s="28">
        <f t="shared" si="37"/>
        <v>110200</v>
      </c>
      <c r="I152" s="22">
        <v>16</v>
      </c>
      <c r="J152" s="23">
        <f t="shared" si="34"/>
        <v>46129</v>
      </c>
      <c r="K152" s="23">
        <f t="shared" si="35"/>
        <v>46143</v>
      </c>
      <c r="L152" t="s">
        <v>426</v>
      </c>
    </row>
    <row r="153" spans="1:12" x14ac:dyDescent="0.25">
      <c r="A153" s="20">
        <v>46143</v>
      </c>
      <c r="B153" t="s">
        <v>32</v>
      </c>
      <c r="C153" t="s">
        <v>158</v>
      </c>
      <c r="D153" s="22">
        <v>60000</v>
      </c>
      <c r="E153" s="22">
        <f t="shared" si="31"/>
        <v>60000</v>
      </c>
      <c r="F153" s="22">
        <f t="shared" si="32"/>
        <v>10800</v>
      </c>
      <c r="G153" s="22">
        <f t="shared" si="33"/>
        <v>70800</v>
      </c>
      <c r="H153" s="28">
        <f t="shared" si="37"/>
        <v>69600</v>
      </c>
      <c r="I153" s="22">
        <v>34</v>
      </c>
      <c r="J153" s="23">
        <f t="shared" si="34"/>
        <v>46177</v>
      </c>
      <c r="K153" s="23">
        <f t="shared" si="35"/>
        <v>46173</v>
      </c>
      <c r="L153" t="s">
        <v>426</v>
      </c>
    </row>
    <row r="154" spans="1:12" x14ac:dyDescent="0.25">
      <c r="A154" s="10">
        <v>46143</v>
      </c>
      <c r="B154" t="s">
        <v>32</v>
      </c>
      <c r="C154" t="s">
        <v>226</v>
      </c>
      <c r="D154" s="22">
        <v>54500</v>
      </c>
      <c r="E154" s="22">
        <f t="shared" si="31"/>
        <v>54500</v>
      </c>
      <c r="F154" s="22">
        <f t="shared" si="32"/>
        <v>9810</v>
      </c>
      <c r="G154" s="22">
        <f t="shared" si="33"/>
        <v>64310</v>
      </c>
      <c r="H154" s="28">
        <f t="shared" si="37"/>
        <v>63220</v>
      </c>
      <c r="I154" s="22">
        <v>34</v>
      </c>
      <c r="J154" s="23">
        <f t="shared" si="34"/>
        <v>46177</v>
      </c>
      <c r="K154" s="23">
        <f t="shared" si="35"/>
        <v>46173</v>
      </c>
      <c r="L154" t="s">
        <v>426</v>
      </c>
    </row>
    <row r="155" spans="1:12" x14ac:dyDescent="0.25">
      <c r="A155" s="20">
        <v>46122</v>
      </c>
      <c r="B155" t="s">
        <v>32</v>
      </c>
      <c r="C155" t="s">
        <v>105</v>
      </c>
      <c r="D155" s="22">
        <v>16668</v>
      </c>
      <c r="E155" s="22">
        <f t="shared" si="31"/>
        <v>16668</v>
      </c>
      <c r="F155" s="22">
        <f t="shared" si="32"/>
        <v>3000.24</v>
      </c>
      <c r="G155" s="22">
        <f t="shared" si="33"/>
        <v>19668.239999999998</v>
      </c>
      <c r="H155" s="28">
        <f t="shared" si="37"/>
        <v>19334.879999999997</v>
      </c>
      <c r="I155" s="22">
        <v>35</v>
      </c>
      <c r="J155" s="23">
        <f t="shared" si="34"/>
        <v>46157</v>
      </c>
      <c r="K155" s="23">
        <f t="shared" si="35"/>
        <v>46152</v>
      </c>
      <c r="L155" t="s">
        <v>426</v>
      </c>
    </row>
    <row r="156" spans="1:12" x14ac:dyDescent="0.25">
      <c r="A156" s="10">
        <v>46143</v>
      </c>
      <c r="B156" t="s">
        <v>32</v>
      </c>
      <c r="C156" t="s">
        <v>254</v>
      </c>
      <c r="D156" s="22">
        <v>44630</v>
      </c>
      <c r="E156" s="22">
        <f t="shared" si="31"/>
        <v>44630</v>
      </c>
      <c r="F156" s="22">
        <f t="shared" si="32"/>
        <v>8033.4</v>
      </c>
      <c r="G156" s="22">
        <f t="shared" si="33"/>
        <v>52663.4</v>
      </c>
      <c r="H156" s="28">
        <f t="shared" si="37"/>
        <v>51770.8</v>
      </c>
      <c r="I156" s="22">
        <v>35</v>
      </c>
      <c r="J156" s="23">
        <f t="shared" si="34"/>
        <v>46178</v>
      </c>
      <c r="K156" s="23">
        <f t="shared" si="35"/>
        <v>46173</v>
      </c>
      <c r="L156" t="s">
        <v>426</v>
      </c>
    </row>
    <row r="157" spans="1:12" x14ac:dyDescent="0.25">
      <c r="A157" s="10">
        <v>46143</v>
      </c>
      <c r="B157" t="s">
        <v>32</v>
      </c>
      <c r="C157" t="s">
        <v>232</v>
      </c>
      <c r="D157" s="22">
        <v>40840</v>
      </c>
      <c r="E157" s="22">
        <f t="shared" si="31"/>
        <v>40840</v>
      </c>
      <c r="F157" s="22">
        <f t="shared" si="32"/>
        <v>7351.2</v>
      </c>
      <c r="G157" s="22">
        <f t="shared" si="33"/>
        <v>48191.199999999997</v>
      </c>
      <c r="H157" s="28">
        <f t="shared" si="37"/>
        <v>47374.399999999994</v>
      </c>
      <c r="I157" s="22">
        <v>35</v>
      </c>
      <c r="J157" s="23">
        <f t="shared" si="34"/>
        <v>46178</v>
      </c>
      <c r="K157" s="23">
        <f t="shared" si="35"/>
        <v>46173</v>
      </c>
      <c r="L157" t="s">
        <v>426</v>
      </c>
    </row>
    <row r="158" spans="1:12" x14ac:dyDescent="0.25">
      <c r="A158" s="20">
        <v>46113</v>
      </c>
      <c r="B158" t="s">
        <v>242</v>
      </c>
      <c r="C158" t="s">
        <v>243</v>
      </c>
      <c r="D158" s="22">
        <v>12300</v>
      </c>
      <c r="E158" s="22">
        <f t="shared" si="31"/>
        <v>12300</v>
      </c>
      <c r="F158" s="22">
        <f t="shared" si="32"/>
        <v>2214</v>
      </c>
      <c r="G158" s="22">
        <f t="shared" si="33"/>
        <v>14514</v>
      </c>
      <c r="H158" s="28">
        <f t="shared" si="37"/>
        <v>14268</v>
      </c>
      <c r="I158" s="22">
        <v>35</v>
      </c>
      <c r="J158" s="23">
        <f t="shared" si="34"/>
        <v>46148</v>
      </c>
      <c r="K158" s="23">
        <f t="shared" si="35"/>
        <v>46143</v>
      </c>
      <c r="L158" t="s">
        <v>426</v>
      </c>
    </row>
    <row r="159" spans="1:12" x14ac:dyDescent="0.25">
      <c r="A159" s="10">
        <v>46143</v>
      </c>
      <c r="B159" t="s">
        <v>32</v>
      </c>
      <c r="C159" t="s">
        <v>231</v>
      </c>
      <c r="D159" s="22">
        <v>40000</v>
      </c>
      <c r="E159" s="22">
        <f t="shared" si="31"/>
        <v>40000</v>
      </c>
      <c r="F159" s="22">
        <f t="shared" si="32"/>
        <v>7200</v>
      </c>
      <c r="G159" s="22">
        <f t="shared" si="33"/>
        <v>47200</v>
      </c>
      <c r="H159" s="28">
        <f t="shared" si="37"/>
        <v>46400</v>
      </c>
      <c r="I159" s="22">
        <v>35</v>
      </c>
      <c r="J159" s="23">
        <f t="shared" si="34"/>
        <v>46178</v>
      </c>
      <c r="K159" s="23">
        <f t="shared" si="35"/>
        <v>46173</v>
      </c>
      <c r="L159" t="s">
        <v>426</v>
      </c>
    </row>
    <row r="160" spans="1:12" x14ac:dyDescent="0.25">
      <c r="A160" s="20">
        <v>46113</v>
      </c>
      <c r="B160" t="s">
        <v>244</v>
      </c>
      <c r="C160" t="s">
        <v>113</v>
      </c>
      <c r="D160" s="22">
        <v>16000</v>
      </c>
      <c r="E160" s="22">
        <f t="shared" si="31"/>
        <v>16000</v>
      </c>
      <c r="F160" s="22">
        <f t="shared" si="32"/>
        <v>2880</v>
      </c>
      <c r="G160" s="22">
        <f t="shared" si="33"/>
        <v>18880</v>
      </c>
      <c r="H160" s="28">
        <f t="shared" si="37"/>
        <v>18560</v>
      </c>
      <c r="I160" s="22">
        <v>35</v>
      </c>
      <c r="J160" s="23">
        <f t="shared" si="34"/>
        <v>46148</v>
      </c>
      <c r="K160" s="23">
        <f t="shared" si="35"/>
        <v>46143</v>
      </c>
      <c r="L160" t="s">
        <v>426</v>
      </c>
    </row>
    <row r="161" spans="1:12" x14ac:dyDescent="0.25">
      <c r="A161" s="10">
        <v>46143</v>
      </c>
      <c r="B161" t="s">
        <v>32</v>
      </c>
      <c r="C161" t="s">
        <v>241</v>
      </c>
      <c r="D161" s="22">
        <v>40000</v>
      </c>
      <c r="E161" s="22">
        <f t="shared" si="31"/>
        <v>40000</v>
      </c>
      <c r="F161" s="22">
        <f t="shared" si="32"/>
        <v>7200</v>
      </c>
      <c r="G161" s="22">
        <f t="shared" si="33"/>
        <v>47200</v>
      </c>
      <c r="H161" s="28">
        <f t="shared" si="37"/>
        <v>46400</v>
      </c>
      <c r="I161" s="22">
        <v>35</v>
      </c>
      <c r="J161" s="23">
        <f t="shared" si="34"/>
        <v>46178</v>
      </c>
      <c r="K161" s="23">
        <f t="shared" si="35"/>
        <v>46173</v>
      </c>
      <c r="L161" t="s">
        <v>426</v>
      </c>
    </row>
    <row r="162" spans="1:12" x14ac:dyDescent="0.25">
      <c r="A162" s="10">
        <v>46143</v>
      </c>
      <c r="B162" t="s">
        <v>32</v>
      </c>
      <c r="C162" t="s">
        <v>33</v>
      </c>
      <c r="D162" s="22">
        <v>39500</v>
      </c>
      <c r="E162" s="22">
        <f t="shared" si="31"/>
        <v>39500</v>
      </c>
      <c r="F162" s="22">
        <f t="shared" si="32"/>
        <v>7110</v>
      </c>
      <c r="G162" s="22">
        <f t="shared" si="33"/>
        <v>46610</v>
      </c>
      <c r="H162" s="22">
        <f t="shared" si="37"/>
        <v>45820</v>
      </c>
      <c r="I162" s="22">
        <v>34</v>
      </c>
      <c r="J162" s="23">
        <f t="shared" si="34"/>
        <v>46177</v>
      </c>
      <c r="K162" s="23">
        <f t="shared" si="35"/>
        <v>46173</v>
      </c>
      <c r="L162" t="s">
        <v>426</v>
      </c>
    </row>
    <row r="163" spans="1:12" x14ac:dyDescent="0.25">
      <c r="A163" s="20">
        <v>46122</v>
      </c>
      <c r="B163" t="s">
        <v>32</v>
      </c>
      <c r="C163" t="s">
        <v>142</v>
      </c>
      <c r="D163" s="22">
        <v>15000</v>
      </c>
      <c r="E163" s="22">
        <f t="shared" si="31"/>
        <v>15000</v>
      </c>
      <c r="F163" s="22">
        <f t="shared" si="32"/>
        <v>2700</v>
      </c>
      <c r="G163" s="22">
        <f t="shared" si="33"/>
        <v>17700</v>
      </c>
      <c r="H163" s="28">
        <f t="shared" si="37"/>
        <v>17400</v>
      </c>
      <c r="I163" s="22">
        <v>35</v>
      </c>
      <c r="J163" s="23">
        <f t="shared" si="34"/>
        <v>46157</v>
      </c>
      <c r="K163" s="23">
        <f t="shared" si="35"/>
        <v>46152</v>
      </c>
      <c r="L163" t="s">
        <v>426</v>
      </c>
    </row>
    <row r="164" spans="1:12" x14ac:dyDescent="0.25">
      <c r="A164" s="10">
        <v>46143</v>
      </c>
      <c r="B164" t="s">
        <v>32</v>
      </c>
      <c r="C164" s="21" t="s">
        <v>132</v>
      </c>
      <c r="D164" s="22">
        <v>103125</v>
      </c>
      <c r="E164" s="22">
        <v>39500</v>
      </c>
      <c r="F164" s="22">
        <v>7110</v>
      </c>
      <c r="G164" s="22">
        <v>46610</v>
      </c>
      <c r="H164" s="22">
        <v>45820</v>
      </c>
      <c r="I164" s="22">
        <v>34</v>
      </c>
      <c r="J164" s="23">
        <v>46177</v>
      </c>
      <c r="K164" s="23">
        <f t="shared" si="35"/>
        <v>46173</v>
      </c>
      <c r="L164" t="s">
        <v>426</v>
      </c>
    </row>
    <row r="165" spans="1:12" x14ac:dyDescent="0.25">
      <c r="A165" s="20">
        <v>46113</v>
      </c>
      <c r="B165" t="s">
        <v>246</v>
      </c>
      <c r="C165" t="s">
        <v>161</v>
      </c>
      <c r="D165" s="22">
        <v>191250</v>
      </c>
      <c r="E165" s="22">
        <f t="shared" ref="E165:E196" si="38">D165</f>
        <v>191250</v>
      </c>
      <c r="F165" s="22">
        <f t="shared" ref="F165:F196" si="39">E165*0.18</f>
        <v>34425</v>
      </c>
      <c r="G165" s="22">
        <f t="shared" ref="G165:G196" si="40">SUM(E165:F165)</f>
        <v>225675</v>
      </c>
      <c r="H165" s="28">
        <f>G165-(E165*0.1)</f>
        <v>206550</v>
      </c>
      <c r="I165" s="22">
        <v>35</v>
      </c>
      <c r="J165" s="23">
        <f t="shared" ref="J165:J196" si="41">A165+I165</f>
        <v>46148</v>
      </c>
      <c r="K165" s="23">
        <f t="shared" si="35"/>
        <v>46143</v>
      </c>
      <c r="L165" t="s">
        <v>426</v>
      </c>
    </row>
    <row r="166" spans="1:12" x14ac:dyDescent="0.25">
      <c r="A166" s="10">
        <v>46143</v>
      </c>
      <c r="B166" t="s">
        <v>32</v>
      </c>
      <c r="C166" t="s">
        <v>235</v>
      </c>
      <c r="D166" s="22">
        <v>33330</v>
      </c>
      <c r="E166" s="22">
        <f t="shared" si="38"/>
        <v>33330</v>
      </c>
      <c r="F166" s="22">
        <f t="shared" si="39"/>
        <v>5999.4</v>
      </c>
      <c r="G166" s="22">
        <f t="shared" si="40"/>
        <v>39329.4</v>
      </c>
      <c r="H166" s="28">
        <f t="shared" ref="H166:H172" si="42">G166-(E166*0.02)</f>
        <v>38662.800000000003</v>
      </c>
      <c r="I166" s="22">
        <v>35</v>
      </c>
      <c r="J166" s="23">
        <f t="shared" si="41"/>
        <v>46178</v>
      </c>
      <c r="K166" s="23">
        <f t="shared" si="35"/>
        <v>46173</v>
      </c>
      <c r="L166" t="s">
        <v>426</v>
      </c>
    </row>
    <row r="167" spans="1:12" x14ac:dyDescent="0.25">
      <c r="A167" s="20">
        <v>46113</v>
      </c>
      <c r="B167" t="s">
        <v>291</v>
      </c>
      <c r="C167" t="s">
        <v>167</v>
      </c>
      <c r="D167" s="22">
        <v>30045</v>
      </c>
      <c r="E167" s="22">
        <f t="shared" si="38"/>
        <v>30045</v>
      </c>
      <c r="F167" s="22">
        <f t="shared" si="39"/>
        <v>5408.0999999999995</v>
      </c>
      <c r="G167" s="22">
        <f t="shared" si="40"/>
        <v>35453.1</v>
      </c>
      <c r="H167" s="22">
        <f t="shared" si="42"/>
        <v>34852.199999999997</v>
      </c>
      <c r="I167" s="22">
        <v>74</v>
      </c>
      <c r="J167" s="23">
        <f t="shared" si="41"/>
        <v>46187</v>
      </c>
      <c r="K167" s="23">
        <f t="shared" si="35"/>
        <v>46143</v>
      </c>
      <c r="L167" t="s">
        <v>426</v>
      </c>
    </row>
    <row r="168" spans="1:12" x14ac:dyDescent="0.25">
      <c r="A168" s="20">
        <v>46122</v>
      </c>
      <c r="B168" t="s">
        <v>32</v>
      </c>
      <c r="C168" t="s">
        <v>235</v>
      </c>
      <c r="D168" s="22">
        <v>10450</v>
      </c>
      <c r="E168" s="22">
        <f t="shared" si="38"/>
        <v>10450</v>
      </c>
      <c r="F168" s="22">
        <f t="shared" si="39"/>
        <v>1881</v>
      </c>
      <c r="G168" s="22">
        <f t="shared" si="40"/>
        <v>12331</v>
      </c>
      <c r="H168" s="28">
        <f t="shared" si="42"/>
        <v>12122</v>
      </c>
      <c r="I168" s="22">
        <v>35</v>
      </c>
      <c r="J168" s="23">
        <f t="shared" si="41"/>
        <v>46157</v>
      </c>
      <c r="K168" s="23">
        <f t="shared" si="35"/>
        <v>46152</v>
      </c>
      <c r="L168" t="s">
        <v>426</v>
      </c>
    </row>
    <row r="169" spans="1:12" x14ac:dyDescent="0.25">
      <c r="A169" s="20">
        <v>46152</v>
      </c>
      <c r="B169" t="s">
        <v>32</v>
      </c>
      <c r="C169" t="s">
        <v>249</v>
      </c>
      <c r="D169" s="22">
        <v>30000</v>
      </c>
      <c r="E169" s="22">
        <f t="shared" si="38"/>
        <v>30000</v>
      </c>
      <c r="F169" s="22">
        <f t="shared" si="39"/>
        <v>5400</v>
      </c>
      <c r="G169" s="22">
        <f t="shared" si="40"/>
        <v>35400</v>
      </c>
      <c r="H169" s="28">
        <f t="shared" si="42"/>
        <v>34800</v>
      </c>
      <c r="I169" s="22">
        <v>35</v>
      </c>
      <c r="J169" s="23">
        <f t="shared" si="41"/>
        <v>46187</v>
      </c>
      <c r="K169" s="23">
        <f t="shared" si="35"/>
        <v>46182</v>
      </c>
      <c r="L169" t="s">
        <v>426</v>
      </c>
    </row>
    <row r="170" spans="1:12" x14ac:dyDescent="0.25">
      <c r="A170" s="20">
        <v>46122</v>
      </c>
      <c r="B170" t="s">
        <v>248</v>
      </c>
      <c r="C170" t="s">
        <v>249</v>
      </c>
      <c r="D170" s="22">
        <v>19990</v>
      </c>
      <c r="E170" s="22">
        <f t="shared" si="38"/>
        <v>19990</v>
      </c>
      <c r="F170" s="22">
        <f t="shared" si="39"/>
        <v>3598.2</v>
      </c>
      <c r="G170" s="22">
        <f t="shared" si="40"/>
        <v>23588.2</v>
      </c>
      <c r="H170" s="28">
        <f t="shared" si="42"/>
        <v>23188.400000000001</v>
      </c>
      <c r="I170" s="22">
        <v>35</v>
      </c>
      <c r="J170" s="23">
        <f t="shared" si="41"/>
        <v>46157</v>
      </c>
      <c r="K170" s="23">
        <f t="shared" si="35"/>
        <v>46152</v>
      </c>
      <c r="L170" t="s">
        <v>426</v>
      </c>
    </row>
    <row r="171" spans="1:12" x14ac:dyDescent="0.25">
      <c r="A171" s="20">
        <v>46113</v>
      </c>
      <c r="B171" t="s">
        <v>288</v>
      </c>
      <c r="C171" t="s">
        <v>41</v>
      </c>
      <c r="D171" s="22">
        <v>30000</v>
      </c>
      <c r="E171" s="22">
        <f t="shared" si="38"/>
        <v>30000</v>
      </c>
      <c r="F171" s="22">
        <f t="shared" si="39"/>
        <v>5400</v>
      </c>
      <c r="G171" s="22">
        <f t="shared" si="40"/>
        <v>35400</v>
      </c>
      <c r="H171" s="22">
        <f t="shared" si="42"/>
        <v>34800</v>
      </c>
      <c r="I171" s="24">
        <v>90</v>
      </c>
      <c r="J171" s="23">
        <f t="shared" si="41"/>
        <v>46203</v>
      </c>
      <c r="K171" s="23">
        <f t="shared" si="35"/>
        <v>46143</v>
      </c>
      <c r="L171" t="s">
        <v>426</v>
      </c>
    </row>
    <row r="172" spans="1:12" x14ac:dyDescent="0.25">
      <c r="A172" s="10">
        <v>46143</v>
      </c>
      <c r="B172" t="s">
        <v>32</v>
      </c>
      <c r="C172" t="s">
        <v>229</v>
      </c>
      <c r="D172" s="22">
        <v>28400</v>
      </c>
      <c r="E172" s="22">
        <f t="shared" si="38"/>
        <v>28400</v>
      </c>
      <c r="F172" s="22">
        <f t="shared" si="39"/>
        <v>5112</v>
      </c>
      <c r="G172" s="22">
        <f t="shared" si="40"/>
        <v>33512</v>
      </c>
      <c r="H172" s="28">
        <f t="shared" si="42"/>
        <v>32944</v>
      </c>
      <c r="I172" s="22">
        <v>35</v>
      </c>
      <c r="J172" s="23">
        <f t="shared" si="41"/>
        <v>46178</v>
      </c>
      <c r="K172" s="23">
        <f t="shared" si="35"/>
        <v>46173</v>
      </c>
      <c r="L172" t="s">
        <v>426</v>
      </c>
    </row>
    <row r="173" spans="1:12" x14ac:dyDescent="0.25">
      <c r="A173" s="10">
        <v>46113</v>
      </c>
      <c r="B173" t="s">
        <v>250</v>
      </c>
      <c r="C173" t="s">
        <v>47</v>
      </c>
      <c r="D173" s="22">
        <v>20000</v>
      </c>
      <c r="E173" s="22">
        <f t="shared" si="38"/>
        <v>20000</v>
      </c>
      <c r="F173" s="22">
        <f t="shared" si="39"/>
        <v>3600</v>
      </c>
      <c r="G173" s="22">
        <f t="shared" si="40"/>
        <v>23600</v>
      </c>
      <c r="H173" s="28">
        <f>G173-(E173*0.1)</f>
        <v>21600</v>
      </c>
      <c r="I173" s="22">
        <v>35</v>
      </c>
      <c r="J173" s="23">
        <f t="shared" si="41"/>
        <v>46148</v>
      </c>
      <c r="K173" s="23">
        <f t="shared" si="35"/>
        <v>46143</v>
      </c>
      <c r="L173" t="s">
        <v>426</v>
      </c>
    </row>
    <row r="174" spans="1:12" x14ac:dyDescent="0.25">
      <c r="A174" s="10">
        <v>46144</v>
      </c>
      <c r="B174" t="s">
        <v>32</v>
      </c>
      <c r="C174" t="s">
        <v>284</v>
      </c>
      <c r="D174" s="22">
        <v>30000</v>
      </c>
      <c r="E174" s="22">
        <f t="shared" si="38"/>
        <v>30000</v>
      </c>
      <c r="F174" s="22">
        <f t="shared" si="39"/>
        <v>5400</v>
      </c>
      <c r="G174" s="22">
        <f t="shared" si="40"/>
        <v>35400</v>
      </c>
      <c r="H174" s="22">
        <f>G174-(E174*0.1)</f>
        <v>32400</v>
      </c>
      <c r="I174" s="22">
        <v>35</v>
      </c>
      <c r="J174" s="23">
        <f t="shared" si="41"/>
        <v>46179</v>
      </c>
      <c r="K174" s="23">
        <f t="shared" si="35"/>
        <v>46174</v>
      </c>
      <c r="L174" t="s">
        <v>426</v>
      </c>
    </row>
    <row r="175" spans="1:12" x14ac:dyDescent="0.25">
      <c r="A175" s="20">
        <v>46113</v>
      </c>
      <c r="B175" t="s">
        <v>251</v>
      </c>
      <c r="C175" t="s">
        <v>252</v>
      </c>
      <c r="D175" s="22">
        <v>100000</v>
      </c>
      <c r="E175" s="22">
        <f t="shared" si="38"/>
        <v>100000</v>
      </c>
      <c r="F175" s="22">
        <f t="shared" si="39"/>
        <v>18000</v>
      </c>
      <c r="G175" s="22">
        <f t="shared" si="40"/>
        <v>118000</v>
      </c>
      <c r="H175" s="28">
        <f>G175-(E175*0.1)</f>
        <v>108000</v>
      </c>
      <c r="I175" s="22">
        <v>35</v>
      </c>
      <c r="J175" s="23">
        <f t="shared" si="41"/>
        <v>46148</v>
      </c>
      <c r="K175" s="23">
        <f t="shared" si="35"/>
        <v>46143</v>
      </c>
      <c r="L175" t="s">
        <v>426</v>
      </c>
    </row>
    <row r="176" spans="1:12" x14ac:dyDescent="0.25">
      <c r="A176" s="10">
        <v>46143</v>
      </c>
      <c r="B176" t="s">
        <v>32</v>
      </c>
      <c r="C176" t="s">
        <v>27</v>
      </c>
      <c r="D176" s="22">
        <v>26000</v>
      </c>
      <c r="E176" s="22">
        <f t="shared" si="38"/>
        <v>26000</v>
      </c>
      <c r="F176" s="22">
        <f t="shared" si="39"/>
        <v>4680</v>
      </c>
      <c r="G176" s="22">
        <f t="shared" si="40"/>
        <v>30680</v>
      </c>
      <c r="H176" s="28">
        <f t="shared" ref="H176:H192" si="43">G176-(E176*0.02)</f>
        <v>30160</v>
      </c>
      <c r="I176" s="22">
        <v>35</v>
      </c>
      <c r="J176" s="23">
        <f t="shared" si="41"/>
        <v>46178</v>
      </c>
      <c r="K176" s="23">
        <f t="shared" si="35"/>
        <v>46173</v>
      </c>
      <c r="L176" t="s">
        <v>426</v>
      </c>
    </row>
    <row r="177" spans="1:12" x14ac:dyDescent="0.25">
      <c r="A177" s="20">
        <v>46122</v>
      </c>
      <c r="B177" t="s">
        <v>32</v>
      </c>
      <c r="C177" t="s">
        <v>49</v>
      </c>
      <c r="D177" s="22">
        <v>16668</v>
      </c>
      <c r="E177" s="22">
        <f t="shared" si="38"/>
        <v>16668</v>
      </c>
      <c r="F177" s="22">
        <f t="shared" si="39"/>
        <v>3000.24</v>
      </c>
      <c r="G177" s="22">
        <f t="shared" si="40"/>
        <v>19668.239999999998</v>
      </c>
      <c r="H177" s="28">
        <f t="shared" si="43"/>
        <v>19334.879999999997</v>
      </c>
      <c r="I177" s="22">
        <v>35</v>
      </c>
      <c r="J177" s="23">
        <f t="shared" si="41"/>
        <v>46157</v>
      </c>
      <c r="K177" s="23">
        <f t="shared" si="35"/>
        <v>46152</v>
      </c>
      <c r="L177" t="s">
        <v>426</v>
      </c>
    </row>
    <row r="178" spans="1:12" x14ac:dyDescent="0.25">
      <c r="A178" s="10">
        <v>46143</v>
      </c>
      <c r="B178" t="s">
        <v>32</v>
      </c>
      <c r="C178" t="s">
        <v>115</v>
      </c>
      <c r="D178" s="22">
        <v>22750</v>
      </c>
      <c r="E178" s="22">
        <f t="shared" si="38"/>
        <v>22750</v>
      </c>
      <c r="F178" s="22">
        <f t="shared" si="39"/>
        <v>4095</v>
      </c>
      <c r="G178" s="22">
        <f t="shared" si="40"/>
        <v>26845</v>
      </c>
      <c r="H178" s="28">
        <f t="shared" si="43"/>
        <v>26390</v>
      </c>
      <c r="I178" s="22">
        <v>35</v>
      </c>
      <c r="J178" s="23">
        <f t="shared" si="41"/>
        <v>46178</v>
      </c>
      <c r="K178" s="23">
        <f t="shared" si="35"/>
        <v>46173</v>
      </c>
      <c r="L178" t="s">
        <v>426</v>
      </c>
    </row>
    <row r="179" spans="1:12" x14ac:dyDescent="0.25">
      <c r="A179" s="20">
        <v>46119</v>
      </c>
      <c r="B179" t="s">
        <v>253</v>
      </c>
      <c r="C179" t="s">
        <v>254</v>
      </c>
      <c r="D179" s="22">
        <v>44630</v>
      </c>
      <c r="E179" s="22">
        <f t="shared" si="38"/>
        <v>44630</v>
      </c>
      <c r="F179" s="22">
        <f t="shared" si="39"/>
        <v>8033.4</v>
      </c>
      <c r="G179" s="22">
        <f t="shared" si="40"/>
        <v>52663.4</v>
      </c>
      <c r="H179" s="28">
        <f t="shared" si="43"/>
        <v>51770.8</v>
      </c>
      <c r="I179" s="22">
        <v>35</v>
      </c>
      <c r="J179" s="23">
        <f t="shared" si="41"/>
        <v>46154</v>
      </c>
      <c r="K179" s="23">
        <f t="shared" si="35"/>
        <v>46149</v>
      </c>
      <c r="L179" t="s">
        <v>426</v>
      </c>
    </row>
    <row r="180" spans="1:12" x14ac:dyDescent="0.25">
      <c r="A180" s="10">
        <v>46143</v>
      </c>
      <c r="B180" t="s">
        <v>32</v>
      </c>
      <c r="C180" t="s">
        <v>270</v>
      </c>
      <c r="D180" s="22">
        <v>22400</v>
      </c>
      <c r="E180" s="22">
        <f t="shared" si="38"/>
        <v>22400</v>
      </c>
      <c r="F180" s="22">
        <f t="shared" si="39"/>
        <v>4032</v>
      </c>
      <c r="G180" s="22">
        <f t="shared" si="40"/>
        <v>26432</v>
      </c>
      <c r="H180" s="28">
        <f t="shared" si="43"/>
        <v>25984</v>
      </c>
      <c r="I180" s="22">
        <v>35</v>
      </c>
      <c r="J180" s="23">
        <f t="shared" si="41"/>
        <v>46178</v>
      </c>
      <c r="K180" s="23">
        <f t="shared" si="35"/>
        <v>46173</v>
      </c>
      <c r="L180" t="s">
        <v>426</v>
      </c>
    </row>
    <row r="181" spans="1:12" x14ac:dyDescent="0.25">
      <c r="A181" s="20">
        <v>46113</v>
      </c>
      <c r="B181" t="s">
        <v>255</v>
      </c>
      <c r="C181" t="s">
        <v>256</v>
      </c>
      <c r="D181" s="22">
        <v>20000</v>
      </c>
      <c r="E181" s="22">
        <f t="shared" si="38"/>
        <v>20000</v>
      </c>
      <c r="F181" s="22">
        <f t="shared" si="39"/>
        <v>3600</v>
      </c>
      <c r="G181" s="22">
        <f t="shared" si="40"/>
        <v>23600</v>
      </c>
      <c r="H181" s="28">
        <f t="shared" si="43"/>
        <v>23200</v>
      </c>
      <c r="I181" s="22">
        <v>35</v>
      </c>
      <c r="J181" s="23">
        <f t="shared" si="41"/>
        <v>46148</v>
      </c>
      <c r="K181" s="23">
        <f t="shared" si="35"/>
        <v>46143</v>
      </c>
      <c r="L181" t="s">
        <v>426</v>
      </c>
    </row>
    <row r="182" spans="1:12" x14ac:dyDescent="0.25">
      <c r="A182" s="10">
        <v>46143</v>
      </c>
      <c r="B182" t="s">
        <v>32</v>
      </c>
      <c r="C182" t="s">
        <v>111</v>
      </c>
      <c r="D182" s="22">
        <v>21000</v>
      </c>
      <c r="E182" s="22">
        <f t="shared" si="38"/>
        <v>21000</v>
      </c>
      <c r="F182" s="22">
        <f t="shared" si="39"/>
        <v>3780</v>
      </c>
      <c r="G182" s="22">
        <f t="shared" si="40"/>
        <v>24780</v>
      </c>
      <c r="H182" s="28">
        <f t="shared" si="43"/>
        <v>24360</v>
      </c>
      <c r="I182" s="22">
        <v>35</v>
      </c>
      <c r="J182" s="23">
        <f t="shared" si="41"/>
        <v>46178</v>
      </c>
      <c r="K182" s="23">
        <f t="shared" si="35"/>
        <v>46173</v>
      </c>
      <c r="L182" t="s">
        <v>426</v>
      </c>
    </row>
    <row r="183" spans="1:12" x14ac:dyDescent="0.25">
      <c r="A183" s="10">
        <v>46113</v>
      </c>
      <c r="B183" t="s">
        <v>257</v>
      </c>
      <c r="C183" t="s">
        <v>92</v>
      </c>
      <c r="D183" s="22">
        <v>16000</v>
      </c>
      <c r="E183" s="22">
        <f t="shared" si="38"/>
        <v>16000</v>
      </c>
      <c r="F183" s="22">
        <f t="shared" si="39"/>
        <v>2880</v>
      </c>
      <c r="G183" s="22">
        <f t="shared" si="40"/>
        <v>18880</v>
      </c>
      <c r="H183" s="28">
        <f t="shared" si="43"/>
        <v>18560</v>
      </c>
      <c r="I183" s="22">
        <v>35</v>
      </c>
      <c r="J183" s="23">
        <f t="shared" si="41"/>
        <v>46148</v>
      </c>
      <c r="K183" s="23">
        <f t="shared" si="35"/>
        <v>46143</v>
      </c>
      <c r="L183" t="s">
        <v>426</v>
      </c>
    </row>
    <row r="184" spans="1:12" x14ac:dyDescent="0.25">
      <c r="A184" s="10">
        <v>46143</v>
      </c>
      <c r="B184" t="s">
        <v>32</v>
      </c>
      <c r="C184" t="s">
        <v>224</v>
      </c>
      <c r="D184" s="22">
        <v>20000</v>
      </c>
      <c r="E184" s="22">
        <f t="shared" si="38"/>
        <v>20000</v>
      </c>
      <c r="F184" s="22">
        <f t="shared" si="39"/>
        <v>3600</v>
      </c>
      <c r="G184" s="22">
        <f t="shared" si="40"/>
        <v>23600</v>
      </c>
      <c r="H184" s="28">
        <f t="shared" si="43"/>
        <v>23200</v>
      </c>
      <c r="I184" s="22">
        <v>35</v>
      </c>
      <c r="J184" s="23">
        <f t="shared" si="41"/>
        <v>46178</v>
      </c>
      <c r="K184" s="23">
        <f t="shared" si="35"/>
        <v>46173</v>
      </c>
      <c r="L184" t="s">
        <v>426</v>
      </c>
    </row>
    <row r="185" spans="1:12" x14ac:dyDescent="0.25">
      <c r="A185" s="10">
        <v>46143</v>
      </c>
      <c r="B185" t="s">
        <v>32</v>
      </c>
      <c r="C185" t="s">
        <v>247</v>
      </c>
      <c r="D185" s="22">
        <v>20000</v>
      </c>
      <c r="E185" s="22">
        <f t="shared" si="38"/>
        <v>20000</v>
      </c>
      <c r="F185" s="22">
        <f t="shared" si="39"/>
        <v>3600</v>
      </c>
      <c r="G185" s="22">
        <f t="shared" si="40"/>
        <v>23600</v>
      </c>
      <c r="H185" s="28">
        <f t="shared" si="43"/>
        <v>23200</v>
      </c>
      <c r="I185" s="22">
        <v>35</v>
      </c>
      <c r="J185" s="23">
        <f t="shared" si="41"/>
        <v>46178</v>
      </c>
      <c r="K185" s="23">
        <f t="shared" si="35"/>
        <v>46173</v>
      </c>
      <c r="L185" t="s">
        <v>426</v>
      </c>
    </row>
    <row r="186" spans="1:12" x14ac:dyDescent="0.25">
      <c r="A186" s="20">
        <v>46113</v>
      </c>
      <c r="B186" t="s">
        <v>259</v>
      </c>
      <c r="C186" t="s">
        <v>260</v>
      </c>
      <c r="D186" s="22">
        <v>33200</v>
      </c>
      <c r="E186" s="22">
        <f t="shared" si="38"/>
        <v>33200</v>
      </c>
      <c r="F186" s="22">
        <f t="shared" si="39"/>
        <v>5976</v>
      </c>
      <c r="G186" s="22">
        <f t="shared" si="40"/>
        <v>39176</v>
      </c>
      <c r="H186" s="28">
        <f t="shared" si="43"/>
        <v>38512</v>
      </c>
      <c r="I186" s="22">
        <v>35</v>
      </c>
      <c r="J186" s="23">
        <f t="shared" si="41"/>
        <v>46148</v>
      </c>
      <c r="K186" s="23">
        <f t="shared" si="35"/>
        <v>46143</v>
      </c>
      <c r="L186" t="s">
        <v>426</v>
      </c>
    </row>
    <row r="187" spans="1:12" x14ac:dyDescent="0.25">
      <c r="A187" s="10">
        <v>46143</v>
      </c>
      <c r="B187" t="s">
        <v>32</v>
      </c>
      <c r="C187" t="s">
        <v>256</v>
      </c>
      <c r="D187" s="22">
        <v>20000</v>
      </c>
      <c r="E187" s="22">
        <f t="shared" si="38"/>
        <v>20000</v>
      </c>
      <c r="F187" s="22">
        <f t="shared" si="39"/>
        <v>3600</v>
      </c>
      <c r="G187" s="22">
        <f t="shared" si="40"/>
        <v>23600</v>
      </c>
      <c r="H187" s="28">
        <f t="shared" si="43"/>
        <v>23200</v>
      </c>
      <c r="I187" s="22">
        <v>35</v>
      </c>
      <c r="J187" s="23">
        <f t="shared" si="41"/>
        <v>46178</v>
      </c>
      <c r="K187" s="23">
        <f t="shared" si="35"/>
        <v>46173</v>
      </c>
      <c r="L187" t="s">
        <v>426</v>
      </c>
    </row>
    <row r="188" spans="1:12" x14ac:dyDescent="0.25">
      <c r="A188" s="20">
        <v>46113</v>
      </c>
      <c r="B188" t="s">
        <v>261</v>
      </c>
      <c r="C188" t="s">
        <v>262</v>
      </c>
      <c r="D188" s="22">
        <v>150000</v>
      </c>
      <c r="E188" s="22">
        <f t="shared" si="38"/>
        <v>150000</v>
      </c>
      <c r="F188" s="22">
        <f t="shared" si="39"/>
        <v>27000</v>
      </c>
      <c r="G188" s="22">
        <f t="shared" si="40"/>
        <v>177000</v>
      </c>
      <c r="H188" s="28">
        <f t="shared" si="43"/>
        <v>174000</v>
      </c>
      <c r="I188" s="22">
        <v>35</v>
      </c>
      <c r="J188" s="23">
        <f t="shared" si="41"/>
        <v>46148</v>
      </c>
      <c r="K188" s="23">
        <f t="shared" si="35"/>
        <v>46143</v>
      </c>
      <c r="L188" t="s">
        <v>426</v>
      </c>
    </row>
    <row r="189" spans="1:12" x14ac:dyDescent="0.25">
      <c r="A189" s="10">
        <v>46143</v>
      </c>
      <c r="B189" t="s">
        <v>32</v>
      </c>
      <c r="C189" t="s">
        <v>147</v>
      </c>
      <c r="D189" s="22">
        <v>20000</v>
      </c>
      <c r="E189" s="22">
        <f t="shared" si="38"/>
        <v>20000</v>
      </c>
      <c r="F189" s="22">
        <f t="shared" si="39"/>
        <v>3600</v>
      </c>
      <c r="G189" s="22">
        <f t="shared" si="40"/>
        <v>23600</v>
      </c>
      <c r="H189" s="28">
        <f t="shared" si="43"/>
        <v>23200</v>
      </c>
      <c r="I189" s="22">
        <v>35</v>
      </c>
      <c r="J189" s="23">
        <f t="shared" si="41"/>
        <v>46178</v>
      </c>
      <c r="K189" s="23">
        <f t="shared" si="35"/>
        <v>46173</v>
      </c>
      <c r="L189" t="s">
        <v>426</v>
      </c>
    </row>
    <row r="190" spans="1:12" x14ac:dyDescent="0.25">
      <c r="A190" s="20">
        <v>46125</v>
      </c>
      <c r="B190" t="s">
        <v>263</v>
      </c>
      <c r="C190" t="s">
        <v>100</v>
      </c>
      <c r="D190" s="22">
        <v>34300</v>
      </c>
      <c r="E190" s="22">
        <f t="shared" si="38"/>
        <v>34300</v>
      </c>
      <c r="F190" s="22">
        <f t="shared" si="39"/>
        <v>6174</v>
      </c>
      <c r="G190" s="22">
        <f t="shared" si="40"/>
        <v>40474</v>
      </c>
      <c r="H190" s="28">
        <f t="shared" si="43"/>
        <v>39788</v>
      </c>
      <c r="I190" s="22">
        <v>35</v>
      </c>
      <c r="J190" s="23">
        <f t="shared" si="41"/>
        <v>46160</v>
      </c>
      <c r="K190" s="23">
        <f t="shared" si="35"/>
        <v>46155</v>
      </c>
      <c r="L190" t="s">
        <v>426</v>
      </c>
    </row>
    <row r="191" spans="1:12" x14ac:dyDescent="0.25">
      <c r="A191" s="10">
        <v>46143</v>
      </c>
      <c r="B191" t="s">
        <v>32</v>
      </c>
      <c r="C191" t="s">
        <v>249</v>
      </c>
      <c r="D191" s="22">
        <v>19990</v>
      </c>
      <c r="E191" s="22">
        <f t="shared" si="38"/>
        <v>19990</v>
      </c>
      <c r="F191" s="22">
        <f t="shared" si="39"/>
        <v>3598.2</v>
      </c>
      <c r="G191" s="22">
        <f t="shared" si="40"/>
        <v>23588.2</v>
      </c>
      <c r="H191" s="28">
        <f t="shared" si="43"/>
        <v>23188.400000000001</v>
      </c>
      <c r="I191" s="22">
        <v>35</v>
      </c>
      <c r="J191" s="23">
        <f t="shared" si="41"/>
        <v>46178</v>
      </c>
      <c r="K191" s="23">
        <f t="shared" si="35"/>
        <v>46173</v>
      </c>
      <c r="L191" t="s">
        <v>426</v>
      </c>
    </row>
    <row r="192" spans="1:12" x14ac:dyDescent="0.25">
      <c r="A192" s="10">
        <v>46113</v>
      </c>
      <c r="B192" t="s">
        <v>264</v>
      </c>
      <c r="C192" t="s">
        <v>109</v>
      </c>
      <c r="D192" s="22">
        <v>10000</v>
      </c>
      <c r="E192" s="22">
        <f t="shared" si="38"/>
        <v>10000</v>
      </c>
      <c r="F192" s="22">
        <f t="shared" si="39"/>
        <v>1800</v>
      </c>
      <c r="G192" s="22">
        <f t="shared" si="40"/>
        <v>11800</v>
      </c>
      <c r="H192" s="28">
        <f t="shared" si="43"/>
        <v>11600</v>
      </c>
      <c r="I192" s="22">
        <v>35</v>
      </c>
      <c r="J192" s="23">
        <f t="shared" si="41"/>
        <v>46148</v>
      </c>
      <c r="K192" s="23">
        <f t="shared" si="35"/>
        <v>46143</v>
      </c>
      <c r="L192" t="s">
        <v>426</v>
      </c>
    </row>
    <row r="193" spans="1:12" x14ac:dyDescent="0.25">
      <c r="A193" s="10">
        <v>46143</v>
      </c>
      <c r="B193" t="s">
        <v>32</v>
      </c>
      <c r="C193" t="s">
        <v>47</v>
      </c>
      <c r="D193" s="22">
        <v>20000</v>
      </c>
      <c r="E193" s="22">
        <f t="shared" si="38"/>
        <v>20000</v>
      </c>
      <c r="F193" s="22">
        <f t="shared" si="39"/>
        <v>3600</v>
      </c>
      <c r="G193" s="22">
        <f t="shared" si="40"/>
        <v>23600</v>
      </c>
      <c r="H193" s="28">
        <f>G193-(E193*0.1)</f>
        <v>21600</v>
      </c>
      <c r="I193" s="22">
        <v>35</v>
      </c>
      <c r="J193" s="23">
        <f t="shared" si="41"/>
        <v>46178</v>
      </c>
      <c r="K193" s="23">
        <f t="shared" si="35"/>
        <v>46173</v>
      </c>
      <c r="L193" t="s">
        <v>426</v>
      </c>
    </row>
    <row r="194" spans="1:12" x14ac:dyDescent="0.25">
      <c r="A194" s="10">
        <v>46113</v>
      </c>
      <c r="B194" t="s">
        <v>265</v>
      </c>
      <c r="C194" t="s">
        <v>111</v>
      </c>
      <c r="D194" s="22">
        <v>21000</v>
      </c>
      <c r="E194" s="22">
        <f t="shared" si="38"/>
        <v>21000</v>
      </c>
      <c r="F194" s="22">
        <f t="shared" si="39"/>
        <v>3780</v>
      </c>
      <c r="G194" s="22">
        <f t="shared" si="40"/>
        <v>24780</v>
      </c>
      <c r="H194" s="28">
        <f t="shared" ref="H194:H210" si="44">G194-(E194*0.02)</f>
        <v>24360</v>
      </c>
      <c r="I194" s="22">
        <v>35</v>
      </c>
      <c r="J194" s="23">
        <f t="shared" si="41"/>
        <v>46148</v>
      </c>
      <c r="K194" s="23">
        <f t="shared" si="35"/>
        <v>46143</v>
      </c>
      <c r="L194" t="s">
        <v>426</v>
      </c>
    </row>
    <row r="195" spans="1:12" x14ac:dyDescent="0.25">
      <c r="A195" s="10">
        <v>46143</v>
      </c>
      <c r="B195" t="s">
        <v>32</v>
      </c>
      <c r="C195" t="s">
        <v>49</v>
      </c>
      <c r="D195" s="22">
        <v>16668</v>
      </c>
      <c r="E195" s="22">
        <f t="shared" si="38"/>
        <v>16668</v>
      </c>
      <c r="F195" s="22">
        <f t="shared" si="39"/>
        <v>3000.24</v>
      </c>
      <c r="G195" s="22">
        <f t="shared" si="40"/>
        <v>19668.239999999998</v>
      </c>
      <c r="H195" s="28">
        <f t="shared" si="44"/>
        <v>19334.879999999997</v>
      </c>
      <c r="I195" s="22">
        <v>35</v>
      </c>
      <c r="J195" s="23">
        <f t="shared" si="41"/>
        <v>46178</v>
      </c>
      <c r="K195" s="23">
        <f t="shared" si="35"/>
        <v>46173</v>
      </c>
      <c r="L195" t="s">
        <v>426</v>
      </c>
    </row>
    <row r="196" spans="1:12" x14ac:dyDescent="0.25">
      <c r="A196" s="20">
        <v>46113</v>
      </c>
      <c r="B196" t="s">
        <v>266</v>
      </c>
      <c r="C196" t="s">
        <v>115</v>
      </c>
      <c r="D196" s="22">
        <v>22750</v>
      </c>
      <c r="E196" s="22">
        <f t="shared" si="38"/>
        <v>22750</v>
      </c>
      <c r="F196" s="22">
        <f t="shared" si="39"/>
        <v>4095</v>
      </c>
      <c r="G196" s="22">
        <f t="shared" si="40"/>
        <v>26845</v>
      </c>
      <c r="H196" s="28">
        <f t="shared" si="44"/>
        <v>26390</v>
      </c>
      <c r="I196" s="22">
        <v>35</v>
      </c>
      <c r="J196" s="23">
        <f t="shared" si="41"/>
        <v>46148</v>
      </c>
      <c r="K196" s="23">
        <f t="shared" si="35"/>
        <v>46143</v>
      </c>
      <c r="L196" t="s">
        <v>426</v>
      </c>
    </row>
    <row r="197" spans="1:12" x14ac:dyDescent="0.25">
      <c r="A197" s="10">
        <v>46143</v>
      </c>
      <c r="B197" t="s">
        <v>32</v>
      </c>
      <c r="C197" t="s">
        <v>102</v>
      </c>
      <c r="D197" s="22">
        <v>16668</v>
      </c>
      <c r="E197" s="22">
        <f t="shared" ref="E197:E228" si="45">D197</f>
        <v>16668</v>
      </c>
      <c r="F197" s="22">
        <f t="shared" ref="F197:F228" si="46">E197*0.18</f>
        <v>3000.24</v>
      </c>
      <c r="G197" s="22">
        <f t="shared" ref="G197:G228" si="47">SUM(E197:F197)</f>
        <v>19668.239999999998</v>
      </c>
      <c r="H197" s="28">
        <f t="shared" si="44"/>
        <v>19334.879999999997</v>
      </c>
      <c r="I197" s="22">
        <v>35</v>
      </c>
      <c r="J197" s="23">
        <f t="shared" ref="J197:J228" si="48">A197+I197</f>
        <v>46178</v>
      </c>
      <c r="K197" s="23">
        <f t="shared" si="35"/>
        <v>46173</v>
      </c>
      <c r="L197" t="s">
        <v>426</v>
      </c>
    </row>
    <row r="198" spans="1:12" x14ac:dyDescent="0.25">
      <c r="A198" s="20">
        <v>46125</v>
      </c>
      <c r="B198" t="s">
        <v>267</v>
      </c>
      <c r="C198" t="s">
        <v>147</v>
      </c>
      <c r="D198" s="22">
        <v>10000</v>
      </c>
      <c r="E198" s="22">
        <f t="shared" si="45"/>
        <v>10000</v>
      </c>
      <c r="F198" s="22">
        <f t="shared" si="46"/>
        <v>1800</v>
      </c>
      <c r="G198" s="22">
        <f t="shared" si="47"/>
        <v>11800</v>
      </c>
      <c r="H198" s="28">
        <f t="shared" si="44"/>
        <v>11600</v>
      </c>
      <c r="I198" s="22">
        <v>35</v>
      </c>
      <c r="J198" s="23">
        <f t="shared" si="48"/>
        <v>46160</v>
      </c>
      <c r="K198" s="23">
        <f t="shared" si="35"/>
        <v>46155</v>
      </c>
      <c r="L198" t="s">
        <v>426</v>
      </c>
    </row>
    <row r="199" spans="1:12" x14ac:dyDescent="0.25">
      <c r="A199" s="20">
        <v>46125</v>
      </c>
      <c r="B199" t="s">
        <v>268</v>
      </c>
      <c r="C199" t="s">
        <v>147</v>
      </c>
      <c r="D199" s="22">
        <v>10000</v>
      </c>
      <c r="E199" s="22">
        <f t="shared" si="45"/>
        <v>10000</v>
      </c>
      <c r="F199" s="22">
        <f t="shared" si="46"/>
        <v>1800</v>
      </c>
      <c r="G199" s="22">
        <f t="shared" si="47"/>
        <v>11800</v>
      </c>
      <c r="H199" s="28">
        <f t="shared" si="44"/>
        <v>11600</v>
      </c>
      <c r="I199" s="22">
        <v>35</v>
      </c>
      <c r="J199" s="23">
        <f t="shared" si="48"/>
        <v>46160</v>
      </c>
      <c r="K199" s="23">
        <f t="shared" ref="K199:K222" si="49">+A199+30</f>
        <v>46155</v>
      </c>
      <c r="L199" t="s">
        <v>426</v>
      </c>
    </row>
    <row r="200" spans="1:12" x14ac:dyDescent="0.25">
      <c r="A200" s="10">
        <v>46143</v>
      </c>
      <c r="B200" t="s">
        <v>32</v>
      </c>
      <c r="C200" t="s">
        <v>113</v>
      </c>
      <c r="D200" s="22">
        <v>16000</v>
      </c>
      <c r="E200" s="22">
        <f t="shared" si="45"/>
        <v>16000</v>
      </c>
      <c r="F200" s="22">
        <f t="shared" si="46"/>
        <v>2880</v>
      </c>
      <c r="G200" s="22">
        <f t="shared" si="47"/>
        <v>18880</v>
      </c>
      <c r="H200" s="28">
        <f t="shared" si="44"/>
        <v>18560</v>
      </c>
      <c r="I200" s="22">
        <v>35</v>
      </c>
      <c r="J200" s="23">
        <f t="shared" si="48"/>
        <v>46178</v>
      </c>
      <c r="K200" s="23">
        <f t="shared" si="49"/>
        <v>46173</v>
      </c>
      <c r="L200" t="s">
        <v>426</v>
      </c>
    </row>
    <row r="201" spans="1:12" x14ac:dyDescent="0.25">
      <c r="A201" s="20">
        <v>46113</v>
      </c>
      <c r="B201" t="s">
        <v>269</v>
      </c>
      <c r="C201" t="s">
        <v>270</v>
      </c>
      <c r="D201" s="22">
        <v>22400</v>
      </c>
      <c r="E201" s="22">
        <f t="shared" si="45"/>
        <v>22400</v>
      </c>
      <c r="F201" s="22">
        <f t="shared" si="46"/>
        <v>4032</v>
      </c>
      <c r="G201" s="22">
        <f t="shared" si="47"/>
        <v>26432</v>
      </c>
      <c r="H201" s="28">
        <f t="shared" si="44"/>
        <v>25984</v>
      </c>
      <c r="I201" s="22">
        <v>35</v>
      </c>
      <c r="J201" s="23">
        <f t="shared" si="48"/>
        <v>46148</v>
      </c>
      <c r="K201" s="23">
        <f t="shared" si="49"/>
        <v>46143</v>
      </c>
      <c r="L201" t="s">
        <v>426</v>
      </c>
    </row>
    <row r="202" spans="1:12" x14ac:dyDescent="0.25">
      <c r="A202" s="10">
        <v>46143</v>
      </c>
      <c r="B202" t="s">
        <v>32</v>
      </c>
      <c r="C202" t="s">
        <v>92</v>
      </c>
      <c r="D202" s="22">
        <v>16000</v>
      </c>
      <c r="E202" s="22">
        <f t="shared" si="45"/>
        <v>16000</v>
      </c>
      <c r="F202" s="22">
        <f t="shared" si="46"/>
        <v>2880</v>
      </c>
      <c r="G202" s="22">
        <f t="shared" si="47"/>
        <v>18880</v>
      </c>
      <c r="H202" s="28">
        <f t="shared" si="44"/>
        <v>18560</v>
      </c>
      <c r="I202" s="22">
        <v>35</v>
      </c>
      <c r="J202" s="23">
        <f t="shared" si="48"/>
        <v>46178</v>
      </c>
      <c r="K202" s="23">
        <f t="shared" si="49"/>
        <v>46173</v>
      </c>
      <c r="L202" t="s">
        <v>426</v>
      </c>
    </row>
    <row r="203" spans="1:12" x14ac:dyDescent="0.25">
      <c r="A203" s="10">
        <v>46143</v>
      </c>
      <c r="B203" t="s">
        <v>32</v>
      </c>
      <c r="C203" t="s">
        <v>142</v>
      </c>
      <c r="D203" s="22">
        <v>15000</v>
      </c>
      <c r="E203" s="22">
        <f t="shared" si="45"/>
        <v>15000</v>
      </c>
      <c r="F203" s="22">
        <f t="shared" si="46"/>
        <v>2700</v>
      </c>
      <c r="G203" s="22">
        <f t="shared" si="47"/>
        <v>17700</v>
      </c>
      <c r="H203" s="28">
        <f t="shared" si="44"/>
        <v>17400</v>
      </c>
      <c r="I203" s="22">
        <v>35</v>
      </c>
      <c r="J203" s="23">
        <f t="shared" si="48"/>
        <v>46178</v>
      </c>
      <c r="K203" s="23">
        <f t="shared" si="49"/>
        <v>46173</v>
      </c>
      <c r="L203" t="s">
        <v>426</v>
      </c>
    </row>
    <row r="204" spans="1:12" x14ac:dyDescent="0.25">
      <c r="A204" s="10">
        <v>46113</v>
      </c>
      <c r="B204" t="s">
        <v>272</v>
      </c>
      <c r="C204" t="s">
        <v>258</v>
      </c>
      <c r="D204" s="22">
        <f>60000</f>
        <v>60000</v>
      </c>
      <c r="E204" s="22">
        <f t="shared" si="45"/>
        <v>60000</v>
      </c>
      <c r="F204" s="22">
        <f t="shared" si="46"/>
        <v>10800</v>
      </c>
      <c r="G204" s="22">
        <f t="shared" si="47"/>
        <v>70800</v>
      </c>
      <c r="H204" s="28">
        <f t="shared" si="44"/>
        <v>69600</v>
      </c>
      <c r="I204" s="22">
        <v>17</v>
      </c>
      <c r="J204" s="23">
        <f t="shared" si="48"/>
        <v>46130</v>
      </c>
      <c r="K204" s="23">
        <f t="shared" si="49"/>
        <v>46143</v>
      </c>
      <c r="L204" t="s">
        <v>426</v>
      </c>
    </row>
    <row r="205" spans="1:12" x14ac:dyDescent="0.25">
      <c r="A205" s="10">
        <v>46143</v>
      </c>
      <c r="B205" t="s">
        <v>32</v>
      </c>
      <c r="C205" t="s">
        <v>243</v>
      </c>
      <c r="D205" s="22">
        <v>12300</v>
      </c>
      <c r="E205" s="22">
        <f t="shared" si="45"/>
        <v>12300</v>
      </c>
      <c r="F205" s="22">
        <f t="shared" si="46"/>
        <v>2214</v>
      </c>
      <c r="G205" s="22">
        <f t="shared" si="47"/>
        <v>14514</v>
      </c>
      <c r="H205" s="28">
        <f t="shared" si="44"/>
        <v>14268</v>
      </c>
      <c r="I205" s="22">
        <v>35</v>
      </c>
      <c r="J205" s="23">
        <f t="shared" si="48"/>
        <v>46178</v>
      </c>
      <c r="K205" s="23">
        <f t="shared" si="49"/>
        <v>46173</v>
      </c>
      <c r="L205" t="s">
        <v>426</v>
      </c>
    </row>
    <row r="206" spans="1:12" x14ac:dyDescent="0.25">
      <c r="A206" s="20">
        <v>46113</v>
      </c>
      <c r="B206" t="s">
        <v>273</v>
      </c>
      <c r="C206" t="s">
        <v>274</v>
      </c>
      <c r="D206" s="22">
        <v>20000</v>
      </c>
      <c r="E206" s="22">
        <f t="shared" si="45"/>
        <v>20000</v>
      </c>
      <c r="F206" s="22">
        <f t="shared" si="46"/>
        <v>3600</v>
      </c>
      <c r="G206" s="22">
        <f t="shared" si="47"/>
        <v>23600</v>
      </c>
      <c r="H206" s="22">
        <f t="shared" si="44"/>
        <v>23200</v>
      </c>
      <c r="I206" s="22">
        <v>35</v>
      </c>
      <c r="J206" s="23">
        <f t="shared" si="48"/>
        <v>46148</v>
      </c>
      <c r="K206" s="23">
        <f t="shared" si="49"/>
        <v>46143</v>
      </c>
      <c r="L206" t="s">
        <v>426</v>
      </c>
    </row>
    <row r="207" spans="1:12" x14ac:dyDescent="0.25">
      <c r="A207" s="20">
        <v>46113</v>
      </c>
      <c r="B207" t="s">
        <v>275</v>
      </c>
      <c r="C207" t="s">
        <v>276</v>
      </c>
      <c r="D207" s="22">
        <f>20000*3</f>
        <v>60000</v>
      </c>
      <c r="E207" s="22">
        <f t="shared" si="45"/>
        <v>60000</v>
      </c>
      <c r="F207" s="22">
        <f t="shared" si="46"/>
        <v>10800</v>
      </c>
      <c r="G207" s="22">
        <f t="shared" si="47"/>
        <v>70800</v>
      </c>
      <c r="H207" s="22">
        <f t="shared" si="44"/>
        <v>69600</v>
      </c>
      <c r="I207" s="22">
        <v>35</v>
      </c>
      <c r="J207" s="23">
        <f t="shared" si="48"/>
        <v>46148</v>
      </c>
      <c r="K207" s="23">
        <f t="shared" si="49"/>
        <v>46143</v>
      </c>
      <c r="L207" t="s">
        <v>426</v>
      </c>
    </row>
    <row r="208" spans="1:12" x14ac:dyDescent="0.25">
      <c r="A208" s="20">
        <v>46113</v>
      </c>
      <c r="B208" t="s">
        <v>277</v>
      </c>
      <c r="C208" t="s">
        <v>278</v>
      </c>
      <c r="D208" s="22">
        <f>26000*3</f>
        <v>78000</v>
      </c>
      <c r="E208" s="22">
        <f t="shared" si="45"/>
        <v>78000</v>
      </c>
      <c r="F208" s="22">
        <f t="shared" si="46"/>
        <v>14040</v>
      </c>
      <c r="G208" s="22">
        <f t="shared" si="47"/>
        <v>92040</v>
      </c>
      <c r="H208" s="22">
        <f t="shared" si="44"/>
        <v>90480</v>
      </c>
      <c r="I208" s="22">
        <v>35</v>
      </c>
      <c r="J208" s="23">
        <f t="shared" si="48"/>
        <v>46148</v>
      </c>
      <c r="K208" s="23">
        <f t="shared" si="49"/>
        <v>46143</v>
      </c>
      <c r="L208" t="s">
        <v>426</v>
      </c>
    </row>
    <row r="209" spans="1:12" x14ac:dyDescent="0.25">
      <c r="A209" s="20">
        <v>46113</v>
      </c>
      <c r="B209" t="s">
        <v>279</v>
      </c>
      <c r="C209" t="s">
        <v>280</v>
      </c>
      <c r="D209" s="22">
        <v>142800</v>
      </c>
      <c r="E209" s="22">
        <f t="shared" si="45"/>
        <v>142800</v>
      </c>
      <c r="F209" s="22">
        <f t="shared" si="46"/>
        <v>25704</v>
      </c>
      <c r="G209" s="22">
        <f t="shared" si="47"/>
        <v>168504</v>
      </c>
      <c r="H209" s="22">
        <f t="shared" si="44"/>
        <v>165648</v>
      </c>
      <c r="I209" s="22">
        <v>15</v>
      </c>
      <c r="J209" s="23">
        <f t="shared" si="48"/>
        <v>46128</v>
      </c>
      <c r="K209" s="23">
        <f t="shared" si="49"/>
        <v>46143</v>
      </c>
      <c r="L209" t="s">
        <v>426</v>
      </c>
    </row>
    <row r="210" spans="1:12" x14ac:dyDescent="0.25">
      <c r="A210" s="20">
        <v>46113</v>
      </c>
      <c r="B210" t="s">
        <v>281</v>
      </c>
      <c r="C210" t="s">
        <v>163</v>
      </c>
      <c r="D210" s="22">
        <v>112320</v>
      </c>
      <c r="E210" s="22">
        <f t="shared" si="45"/>
        <v>112320</v>
      </c>
      <c r="F210" s="22">
        <f t="shared" si="46"/>
        <v>20217.599999999999</v>
      </c>
      <c r="G210" s="22">
        <f t="shared" si="47"/>
        <v>132537.60000000001</v>
      </c>
      <c r="H210" s="22">
        <f t="shared" si="44"/>
        <v>130291.20000000001</v>
      </c>
      <c r="I210" s="22">
        <v>35</v>
      </c>
      <c r="J210" s="23">
        <f t="shared" si="48"/>
        <v>46148</v>
      </c>
      <c r="K210" s="23">
        <f t="shared" si="49"/>
        <v>46143</v>
      </c>
      <c r="L210" t="s">
        <v>426</v>
      </c>
    </row>
    <row r="211" spans="1:12" x14ac:dyDescent="0.25">
      <c r="A211" s="10">
        <v>46142</v>
      </c>
      <c r="B211" t="s">
        <v>32</v>
      </c>
      <c r="C211" t="s">
        <v>282</v>
      </c>
      <c r="D211" s="22">
        <f>525545+392109</f>
        <v>917654</v>
      </c>
      <c r="E211" s="22">
        <f t="shared" si="45"/>
        <v>917654</v>
      </c>
      <c r="F211" s="22">
        <f t="shared" si="46"/>
        <v>165177.72</v>
      </c>
      <c r="G211" s="22">
        <f t="shared" si="47"/>
        <v>1082831.72</v>
      </c>
      <c r="H211" s="22">
        <f>G211-(E211*0.1)</f>
        <v>991066.32</v>
      </c>
      <c r="I211" s="22">
        <v>6</v>
      </c>
      <c r="J211" s="23">
        <f t="shared" si="48"/>
        <v>46148</v>
      </c>
      <c r="K211" s="23">
        <f t="shared" si="49"/>
        <v>46172</v>
      </c>
      <c r="L211" t="s">
        <v>426</v>
      </c>
    </row>
    <row r="212" spans="1:12" x14ac:dyDescent="0.25">
      <c r="A212" s="10">
        <v>46143</v>
      </c>
      <c r="B212" t="s">
        <v>32</v>
      </c>
      <c r="C212" t="s">
        <v>235</v>
      </c>
      <c r="D212" s="22">
        <v>10450</v>
      </c>
      <c r="E212" s="22">
        <f t="shared" si="45"/>
        <v>10450</v>
      </c>
      <c r="F212" s="22">
        <f t="shared" si="46"/>
        <v>1881</v>
      </c>
      <c r="G212" s="22">
        <f t="shared" si="47"/>
        <v>12331</v>
      </c>
      <c r="H212" s="28">
        <f>G212-(E212*0.02)</f>
        <v>12122</v>
      </c>
      <c r="I212" s="22">
        <v>35</v>
      </c>
      <c r="J212" s="23">
        <f t="shared" si="48"/>
        <v>46178</v>
      </c>
      <c r="K212" s="23">
        <f t="shared" si="49"/>
        <v>46173</v>
      </c>
      <c r="L212" t="s">
        <v>426</v>
      </c>
    </row>
    <row r="213" spans="1:12" x14ac:dyDescent="0.25">
      <c r="A213" s="10">
        <v>46083</v>
      </c>
      <c r="B213" t="s">
        <v>283</v>
      </c>
      <c r="C213" t="s">
        <v>284</v>
      </c>
      <c r="D213" s="22">
        <v>30000</v>
      </c>
      <c r="E213" s="22">
        <f t="shared" si="45"/>
        <v>30000</v>
      </c>
      <c r="F213" s="22">
        <f t="shared" si="46"/>
        <v>5400</v>
      </c>
      <c r="G213" s="22">
        <f t="shared" si="47"/>
        <v>35400</v>
      </c>
      <c r="H213" s="22">
        <f>G213-(E213*0.1)</f>
        <v>32400</v>
      </c>
      <c r="I213" s="22">
        <v>75</v>
      </c>
      <c r="J213" s="23">
        <f t="shared" si="48"/>
        <v>46158</v>
      </c>
      <c r="K213" s="23">
        <f t="shared" si="49"/>
        <v>46113</v>
      </c>
      <c r="L213" t="s">
        <v>426</v>
      </c>
    </row>
    <row r="214" spans="1:12" x14ac:dyDescent="0.25">
      <c r="A214" s="10">
        <v>46113</v>
      </c>
      <c r="B214" t="s">
        <v>285</v>
      </c>
      <c r="C214" t="s">
        <v>284</v>
      </c>
      <c r="D214" s="22">
        <v>30000</v>
      </c>
      <c r="E214" s="22">
        <f t="shared" si="45"/>
        <v>30000</v>
      </c>
      <c r="F214" s="22">
        <f t="shared" si="46"/>
        <v>5400</v>
      </c>
      <c r="G214" s="22">
        <f t="shared" si="47"/>
        <v>35400</v>
      </c>
      <c r="H214" s="22">
        <f>G214-(E214*0.1)</f>
        <v>32400</v>
      </c>
      <c r="I214" s="22">
        <v>35</v>
      </c>
      <c r="J214" s="23">
        <f t="shared" si="48"/>
        <v>46148</v>
      </c>
      <c r="K214" s="23">
        <f t="shared" si="49"/>
        <v>46143</v>
      </c>
      <c r="L214" t="s">
        <v>426</v>
      </c>
    </row>
    <row r="215" spans="1:12" x14ac:dyDescent="0.25">
      <c r="A215" s="10">
        <v>46143</v>
      </c>
      <c r="B215" t="s">
        <v>32</v>
      </c>
      <c r="C215" t="s">
        <v>109</v>
      </c>
      <c r="D215" s="22">
        <v>10000</v>
      </c>
      <c r="E215" s="22">
        <f t="shared" si="45"/>
        <v>10000</v>
      </c>
      <c r="F215" s="22">
        <f t="shared" si="46"/>
        <v>1800</v>
      </c>
      <c r="G215" s="22">
        <f t="shared" si="47"/>
        <v>11800</v>
      </c>
      <c r="H215" s="28">
        <f>G215-(E215*0.02)</f>
        <v>11600</v>
      </c>
      <c r="I215" s="22">
        <v>35</v>
      </c>
      <c r="J215" s="23">
        <f t="shared" si="48"/>
        <v>46178</v>
      </c>
      <c r="K215" s="23">
        <f t="shared" si="49"/>
        <v>46173</v>
      </c>
      <c r="L215" t="s">
        <v>426</v>
      </c>
    </row>
    <row r="216" spans="1:12" x14ac:dyDescent="0.25">
      <c r="A216" s="10">
        <v>46107</v>
      </c>
      <c r="B216" t="s">
        <v>37</v>
      </c>
      <c r="C216" t="s">
        <v>35</v>
      </c>
      <c r="D216" s="22">
        <v>105000</v>
      </c>
      <c r="E216" s="22">
        <f t="shared" si="45"/>
        <v>105000</v>
      </c>
      <c r="F216" s="22">
        <f t="shared" si="46"/>
        <v>18900</v>
      </c>
      <c r="G216" s="22">
        <f t="shared" si="47"/>
        <v>123900</v>
      </c>
      <c r="H216" s="22">
        <f>G216-(E216*0.02)</f>
        <v>121800</v>
      </c>
      <c r="I216" s="22">
        <v>35</v>
      </c>
      <c r="J216" s="23">
        <f t="shared" si="48"/>
        <v>46142</v>
      </c>
      <c r="K216" s="23">
        <f t="shared" si="49"/>
        <v>46137</v>
      </c>
      <c r="L216" t="s">
        <v>426</v>
      </c>
    </row>
    <row r="217" spans="1:12" x14ac:dyDescent="0.25">
      <c r="A217" s="20">
        <v>46111</v>
      </c>
      <c r="B217" t="s">
        <v>286</v>
      </c>
      <c r="C217" t="s">
        <v>287</v>
      </c>
      <c r="D217" s="22">
        <v>200000</v>
      </c>
      <c r="E217" s="22">
        <f t="shared" si="45"/>
        <v>200000</v>
      </c>
      <c r="F217" s="22">
        <f t="shared" si="46"/>
        <v>36000</v>
      </c>
      <c r="G217" s="22">
        <f t="shared" si="47"/>
        <v>236000</v>
      </c>
      <c r="H217" s="22">
        <f>G217-(E217*0.02)</f>
        <v>232000</v>
      </c>
      <c r="I217" s="24">
        <v>45</v>
      </c>
      <c r="J217" s="23">
        <f t="shared" si="48"/>
        <v>46156</v>
      </c>
      <c r="K217" s="23">
        <f t="shared" si="49"/>
        <v>46141</v>
      </c>
      <c r="L217" t="s">
        <v>426</v>
      </c>
    </row>
    <row r="218" spans="1:12" x14ac:dyDescent="0.25">
      <c r="A218" s="10">
        <v>46143</v>
      </c>
      <c r="B218" t="s">
        <v>32</v>
      </c>
      <c r="C218" t="s">
        <v>240</v>
      </c>
      <c r="D218" s="22">
        <v>7500</v>
      </c>
      <c r="E218" s="22">
        <f t="shared" si="45"/>
        <v>7500</v>
      </c>
      <c r="F218" s="22">
        <f t="shared" si="46"/>
        <v>1350</v>
      </c>
      <c r="G218" s="22">
        <f t="shared" si="47"/>
        <v>8850</v>
      </c>
      <c r="H218" s="28">
        <f>G218-(E218*0.02)</f>
        <v>8700</v>
      </c>
      <c r="I218" s="22">
        <v>35</v>
      </c>
      <c r="J218" s="23">
        <f t="shared" si="48"/>
        <v>46178</v>
      </c>
      <c r="K218" s="23">
        <f t="shared" si="49"/>
        <v>46173</v>
      </c>
      <c r="L218" t="s">
        <v>426</v>
      </c>
    </row>
    <row r="219" spans="1:12" x14ac:dyDescent="0.25">
      <c r="A219" s="10">
        <v>46143</v>
      </c>
      <c r="B219" t="s">
        <v>32</v>
      </c>
      <c r="C219" t="s">
        <v>105</v>
      </c>
      <c r="D219" s="22">
        <v>7500</v>
      </c>
      <c r="E219" s="22">
        <f t="shared" si="45"/>
        <v>7500</v>
      </c>
      <c r="F219" s="22">
        <f t="shared" si="46"/>
        <v>1350</v>
      </c>
      <c r="G219" s="22">
        <f t="shared" si="47"/>
        <v>8850</v>
      </c>
      <c r="H219" s="28">
        <f>G219-(E219*0.02)</f>
        <v>8700</v>
      </c>
      <c r="I219" s="22">
        <v>35</v>
      </c>
      <c r="J219" s="23">
        <f t="shared" si="48"/>
        <v>46178</v>
      </c>
      <c r="K219" s="23">
        <f t="shared" si="49"/>
        <v>46173</v>
      </c>
      <c r="L219" t="s">
        <v>426</v>
      </c>
    </row>
    <row r="220" spans="1:12" x14ac:dyDescent="0.25">
      <c r="A220" s="10">
        <v>46113</v>
      </c>
      <c r="B220" t="s">
        <v>289</v>
      </c>
      <c r="C220" t="s">
        <v>220</v>
      </c>
      <c r="D220" s="29">
        <v>16982.5</v>
      </c>
      <c r="E220" s="22">
        <f t="shared" si="45"/>
        <v>16982.5</v>
      </c>
      <c r="F220" s="22">
        <f t="shared" si="46"/>
        <v>3056.85</v>
      </c>
      <c r="G220" s="22">
        <f t="shared" si="47"/>
        <v>20039.349999999999</v>
      </c>
      <c r="H220" s="28">
        <f>G220-(E220*0.1)</f>
        <v>18341.099999999999</v>
      </c>
      <c r="I220" s="22">
        <v>35</v>
      </c>
      <c r="J220" s="23">
        <f t="shared" si="48"/>
        <v>46148</v>
      </c>
      <c r="K220" s="23">
        <f t="shared" si="49"/>
        <v>46143</v>
      </c>
      <c r="L220" t="s">
        <v>426</v>
      </c>
    </row>
    <row r="221" spans="1:12" x14ac:dyDescent="0.25">
      <c r="A221" s="10">
        <v>46113</v>
      </c>
      <c r="B221" t="s">
        <v>290</v>
      </c>
      <c r="C221" t="s">
        <v>220</v>
      </c>
      <c r="D221" s="29">
        <v>33965</v>
      </c>
      <c r="E221" s="22">
        <f t="shared" si="45"/>
        <v>33965</v>
      </c>
      <c r="F221" s="22">
        <f t="shared" si="46"/>
        <v>6113.7</v>
      </c>
      <c r="G221" s="22">
        <f t="shared" si="47"/>
        <v>40078.699999999997</v>
      </c>
      <c r="H221" s="28">
        <f>G221-(E221*0.1)</f>
        <v>36682.199999999997</v>
      </c>
      <c r="I221" s="22">
        <v>35</v>
      </c>
      <c r="J221" s="23">
        <f t="shared" si="48"/>
        <v>46148</v>
      </c>
      <c r="K221" s="23">
        <f t="shared" si="49"/>
        <v>46143</v>
      </c>
      <c r="L221" t="s">
        <v>426</v>
      </c>
    </row>
    <row r="222" spans="1:12" x14ac:dyDescent="0.25">
      <c r="A222" s="20">
        <v>46024</v>
      </c>
      <c r="B222" t="s">
        <v>166</v>
      </c>
      <c r="C222" t="s">
        <v>167</v>
      </c>
      <c r="D222" s="22">
        <v>11096</v>
      </c>
      <c r="E222" s="22">
        <f t="shared" si="45"/>
        <v>11096</v>
      </c>
      <c r="F222" s="22">
        <f t="shared" si="46"/>
        <v>1997.28</v>
      </c>
      <c r="G222" s="22">
        <f t="shared" si="47"/>
        <v>13093.28</v>
      </c>
      <c r="H222" s="22">
        <f>G222-(E222*0.02)-11372</f>
        <v>1499.3600000000006</v>
      </c>
      <c r="I222" s="22">
        <v>150</v>
      </c>
      <c r="J222" s="23">
        <f t="shared" si="48"/>
        <v>46174</v>
      </c>
      <c r="K222" s="23">
        <f t="shared" si="49"/>
        <v>46054</v>
      </c>
      <c r="L222" t="s">
        <v>426</v>
      </c>
    </row>
    <row r="223" spans="1:12" x14ac:dyDescent="0.25">
      <c r="A223" s="20">
        <v>46113</v>
      </c>
      <c r="B223" t="s">
        <v>292</v>
      </c>
      <c r="C223" t="s">
        <v>293</v>
      </c>
      <c r="D223" s="29">
        <v>15000</v>
      </c>
      <c r="E223" s="22">
        <f t="shared" si="45"/>
        <v>15000</v>
      </c>
      <c r="F223" s="22">
        <f t="shared" si="46"/>
        <v>2700</v>
      </c>
      <c r="G223" s="22">
        <f t="shared" si="47"/>
        <v>17700</v>
      </c>
      <c r="H223" s="22">
        <f>G223-(E223*0.02)</f>
        <v>17400</v>
      </c>
      <c r="I223" s="22">
        <v>35</v>
      </c>
      <c r="J223" s="23">
        <f t="shared" si="48"/>
        <v>46148</v>
      </c>
      <c r="K223" s="23">
        <f t="shared" ref="K223" si="50">+A223+30</f>
        <v>46143</v>
      </c>
      <c r="L223" t="s">
        <v>426</v>
      </c>
    </row>
  </sheetData>
  <autoFilter ref="A1:L223" xr:uid="{41E8942D-4E09-446B-82C0-540415AA56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670C-A2B9-43BC-B5AD-EF952F589640}">
  <dimension ref="A1:C18"/>
  <sheetViews>
    <sheetView showGridLines="0" zoomScale="95" workbookViewId="0">
      <selection activeCell="C4" sqref="C4"/>
    </sheetView>
  </sheetViews>
  <sheetFormatPr defaultRowHeight="13.2" x14ac:dyDescent="0.25"/>
  <cols>
    <col min="1" max="1" width="9.69921875" style="11" bestFit="1" customWidth="1"/>
    <col min="2" max="2" width="41.796875" style="11" bestFit="1" customWidth="1"/>
    <col min="3" max="3" width="10.09765625" style="11" bestFit="1" customWidth="1"/>
    <col min="4" max="16384" width="8.796875" style="11"/>
  </cols>
  <sheetData>
    <row r="1" spans="1:3" x14ac:dyDescent="0.25">
      <c r="A1" s="18" t="s">
        <v>0</v>
      </c>
      <c r="B1" s="18" t="s">
        <v>1</v>
      </c>
      <c r="C1" s="18" t="s">
        <v>2</v>
      </c>
    </row>
    <row r="2" spans="1:3" x14ac:dyDescent="0.25">
      <c r="A2" s="15">
        <v>46128</v>
      </c>
      <c r="B2" s="13" t="s">
        <v>3</v>
      </c>
      <c r="C2" s="16">
        <f>200000-127757</f>
        <v>72243</v>
      </c>
    </row>
    <row r="3" spans="1:3" x14ac:dyDescent="0.25">
      <c r="A3" s="15">
        <v>46128</v>
      </c>
      <c r="B3" s="13" t="s">
        <v>4</v>
      </c>
      <c r="C3" s="16">
        <f>831000-600000</f>
        <v>231000</v>
      </c>
    </row>
    <row r="4" spans="1:3" x14ac:dyDescent="0.25">
      <c r="A4" s="15">
        <v>46128</v>
      </c>
      <c r="B4" s="13" t="s">
        <v>5</v>
      </c>
      <c r="C4" s="16">
        <v>831000</v>
      </c>
    </row>
    <row r="5" spans="1:3" x14ac:dyDescent="0.25">
      <c r="A5" s="15">
        <v>46142</v>
      </c>
      <c r="B5" s="13" t="s">
        <v>6</v>
      </c>
      <c r="C5" s="16">
        <v>831000</v>
      </c>
    </row>
    <row r="6" spans="1:3" x14ac:dyDescent="0.25">
      <c r="A6" s="15">
        <v>46128</v>
      </c>
      <c r="B6" s="13" t="s">
        <v>7</v>
      </c>
      <c r="C6" s="16">
        <v>276000</v>
      </c>
    </row>
    <row r="7" spans="1:3" x14ac:dyDescent="0.25">
      <c r="A7" s="15">
        <v>46142</v>
      </c>
      <c r="B7" s="13" t="s">
        <v>8</v>
      </c>
      <c r="C7" s="16">
        <v>276000</v>
      </c>
    </row>
    <row r="8" spans="1:3" x14ac:dyDescent="0.25">
      <c r="A8" s="15">
        <v>46128</v>
      </c>
      <c r="B8" s="13" t="s">
        <v>9</v>
      </c>
      <c r="C8" s="16">
        <v>1300000</v>
      </c>
    </row>
    <row r="9" spans="1:3" x14ac:dyDescent="0.25">
      <c r="A9" s="15">
        <v>46128</v>
      </c>
      <c r="B9" s="13" t="s">
        <v>10</v>
      </c>
      <c r="C9" s="16">
        <v>255000</v>
      </c>
    </row>
    <row r="10" spans="1:3" x14ac:dyDescent="0.25">
      <c r="A10" s="15">
        <v>46149</v>
      </c>
      <c r="B10" s="13" t="s">
        <v>295</v>
      </c>
      <c r="C10" s="16">
        <v>255000</v>
      </c>
    </row>
    <row r="11" spans="1:3" x14ac:dyDescent="0.25">
      <c r="A11" s="15">
        <v>46149</v>
      </c>
      <c r="B11" s="13" t="s">
        <v>296</v>
      </c>
      <c r="C11" s="16">
        <f>8120192</f>
        <v>8120192</v>
      </c>
    </row>
    <row r="12" spans="1:3" x14ac:dyDescent="0.25">
      <c r="A12" s="15">
        <v>46149</v>
      </c>
      <c r="B12" s="13" t="s">
        <v>297</v>
      </c>
      <c r="C12" s="16">
        <f>1882250</f>
        <v>1882250</v>
      </c>
    </row>
    <row r="13" spans="1:3" x14ac:dyDescent="0.25">
      <c r="A13" s="15">
        <v>46149</v>
      </c>
      <c r="B13" s="13" t="s">
        <v>298</v>
      </c>
      <c r="C13" s="16">
        <f>352172</f>
        <v>352172</v>
      </c>
    </row>
    <row r="14" spans="1:3" x14ac:dyDescent="0.25">
      <c r="A14" s="15">
        <v>46180</v>
      </c>
      <c r="B14" s="13" t="s">
        <v>299</v>
      </c>
      <c r="C14" s="16">
        <v>255000</v>
      </c>
    </row>
    <row r="15" spans="1:3" x14ac:dyDescent="0.25">
      <c r="A15" s="15">
        <v>46180</v>
      </c>
      <c r="B15" s="13" t="s">
        <v>296</v>
      </c>
      <c r="C15" s="16">
        <f>8120192</f>
        <v>8120192</v>
      </c>
    </row>
    <row r="16" spans="1:3" x14ac:dyDescent="0.25">
      <c r="A16" s="15">
        <v>46180</v>
      </c>
      <c r="B16" s="13" t="s">
        <v>297</v>
      </c>
      <c r="C16" s="16">
        <f>1882250</f>
        <v>1882250</v>
      </c>
    </row>
    <row r="17" spans="1:3" x14ac:dyDescent="0.25">
      <c r="A17" s="15">
        <v>46180</v>
      </c>
      <c r="B17" s="13" t="s">
        <v>298</v>
      </c>
      <c r="C17" s="16">
        <f>352172</f>
        <v>352172</v>
      </c>
    </row>
    <row r="18" spans="1:3" x14ac:dyDescent="0.25">
      <c r="A18" s="15">
        <v>46183</v>
      </c>
      <c r="B18" s="13" t="s">
        <v>300</v>
      </c>
      <c r="C18" s="16">
        <f>(C15+C16+C17)*10%*2</f>
        <v>2070922.8</v>
      </c>
    </row>
  </sheetData>
  <autoFilter ref="A1:C18" xr:uid="{E837670C-A2B9-43BC-B5AD-EF952F5896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0BEA-0E69-4834-8118-5E2C1240AD0C}">
  <dimension ref="A1:C7"/>
  <sheetViews>
    <sheetView showGridLines="0" zoomScaleNormal="100" workbookViewId="0">
      <selection sqref="A1:C1"/>
    </sheetView>
  </sheetViews>
  <sheetFormatPr defaultRowHeight="13.2" x14ac:dyDescent="0.25"/>
  <cols>
    <col min="1" max="1" width="10.296875" style="11" bestFit="1" customWidth="1"/>
    <col min="2" max="2" width="24.3984375" style="11" bestFit="1" customWidth="1"/>
    <col min="3" max="3" width="11" style="11" bestFit="1" customWidth="1"/>
    <col min="4" max="16384" width="8.796875" style="11"/>
  </cols>
  <sheetData>
    <row r="1" spans="1:3" x14ac:dyDescent="0.25">
      <c r="A1" s="18" t="s">
        <v>0</v>
      </c>
      <c r="B1" s="18" t="s">
        <v>1</v>
      </c>
      <c r="C1" s="18" t="s">
        <v>2</v>
      </c>
    </row>
    <row r="2" spans="1:3" x14ac:dyDescent="0.25">
      <c r="A2" s="12">
        <v>46128</v>
      </c>
      <c r="B2" s="13" t="s">
        <v>11</v>
      </c>
      <c r="C2" s="14">
        <v>350000</v>
      </c>
    </row>
    <row r="3" spans="1:3" x14ac:dyDescent="0.25">
      <c r="A3" s="12">
        <v>46128</v>
      </c>
      <c r="B3" s="13" t="s">
        <v>11</v>
      </c>
      <c r="C3" s="14">
        <v>1200000</v>
      </c>
    </row>
    <row r="4" spans="1:3" x14ac:dyDescent="0.25">
      <c r="A4" s="12">
        <v>46149</v>
      </c>
      <c r="B4" s="13" t="s">
        <v>12</v>
      </c>
      <c r="C4" s="14">
        <v>1247799</v>
      </c>
    </row>
    <row r="5" spans="1:3" x14ac:dyDescent="0.25">
      <c r="A5" s="12">
        <v>46149</v>
      </c>
      <c r="B5" s="13" t="s">
        <v>13</v>
      </c>
      <c r="C5" s="14">
        <v>1190106</v>
      </c>
    </row>
    <row r="6" spans="1:3" x14ac:dyDescent="0.25">
      <c r="A6" s="12">
        <v>46180</v>
      </c>
      <c r="B6" s="13" t="s">
        <v>14</v>
      </c>
      <c r="C6" s="14">
        <v>1247799</v>
      </c>
    </row>
    <row r="7" spans="1:3" x14ac:dyDescent="0.25">
      <c r="A7" s="12">
        <v>46180</v>
      </c>
      <c r="B7" s="13" t="s">
        <v>15</v>
      </c>
      <c r="C7" s="14">
        <v>1190106</v>
      </c>
    </row>
  </sheetData>
  <autoFilter ref="A1:C7" xr:uid="{649D0BEA-0E69-4834-8118-5E2C1240AD0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B580-D0C3-4570-8F1E-4838ADF0639D}">
  <dimension ref="A2:N150"/>
  <sheetViews>
    <sheetView showGridLines="0" tabSelected="1" topLeftCell="B1" workbookViewId="0">
      <selection activeCell="N2" sqref="N2"/>
    </sheetView>
  </sheetViews>
  <sheetFormatPr defaultRowHeight="13.2" x14ac:dyDescent="0.25"/>
  <cols>
    <col min="1" max="1" width="10.796875" style="13" bestFit="1" customWidth="1"/>
    <col min="2" max="2" width="7.796875" style="13" bestFit="1" customWidth="1"/>
    <col min="3" max="3" width="12.59765625" style="13" bestFit="1" customWidth="1"/>
    <col min="4" max="4" width="41.8984375" style="13" bestFit="1" customWidth="1"/>
    <col min="5" max="5" width="30.796875" style="13" bestFit="1" customWidth="1"/>
    <col min="6" max="6" width="10.8984375" style="13" bestFit="1" customWidth="1"/>
    <col min="7" max="8" width="7.69921875" style="13" bestFit="1" customWidth="1"/>
    <col min="9" max="9" width="10.19921875" style="13" bestFit="1" customWidth="1"/>
    <col min="10" max="10" width="10.09765625" style="13" bestFit="1" customWidth="1"/>
    <col min="11" max="11" width="8.59765625" style="13" bestFit="1" customWidth="1"/>
    <col min="12" max="12" width="9.19921875" style="13" bestFit="1" customWidth="1"/>
    <col min="13" max="13" width="10.19921875" style="13" bestFit="1" customWidth="1"/>
    <col min="14" max="14" width="10.09765625" style="13" bestFit="1" customWidth="1"/>
    <col min="15" max="15" width="6.3984375" style="13" bestFit="1" customWidth="1"/>
    <col min="16" max="16384" width="8.796875" style="13"/>
  </cols>
  <sheetData>
    <row r="2" spans="1:14" ht="26.4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8" t="s">
        <v>57</v>
      </c>
      <c r="I2" s="18" t="s">
        <v>58</v>
      </c>
      <c r="J2" s="18" t="s">
        <v>59</v>
      </c>
      <c r="K2" s="18" t="s">
        <v>60</v>
      </c>
      <c r="L2" s="18" t="s">
        <v>61</v>
      </c>
      <c r="M2" s="18" t="s">
        <v>62</v>
      </c>
      <c r="N2" s="18" t="s">
        <v>63</v>
      </c>
    </row>
    <row r="3" spans="1:14" x14ac:dyDescent="0.25">
      <c r="A3" s="32">
        <v>46082</v>
      </c>
      <c r="B3" s="32">
        <v>46082</v>
      </c>
      <c r="C3" s="33">
        <v>46133</v>
      </c>
      <c r="D3" s="34" t="s">
        <v>64</v>
      </c>
      <c r="E3" s="34" t="s">
        <v>65</v>
      </c>
      <c r="F3" s="16">
        <v>674816.21186440683</v>
      </c>
      <c r="G3" s="16"/>
      <c r="H3" s="16"/>
      <c r="I3" s="16">
        <f>F3*0.18</f>
        <v>121466.91813559322</v>
      </c>
      <c r="J3" s="16">
        <f>SUM(F3:I3)</f>
        <v>796283.13</v>
      </c>
      <c r="K3" s="16"/>
      <c r="L3" s="16"/>
      <c r="M3" s="16">
        <f>F3*0.1</f>
        <v>67481.62118644068</v>
      </c>
      <c r="N3" s="16">
        <f>J3-M3</f>
        <v>728801.50881355931</v>
      </c>
    </row>
    <row r="4" spans="1:14" x14ac:dyDescent="0.25">
      <c r="A4" s="32">
        <v>46124</v>
      </c>
      <c r="B4" s="32">
        <v>46113</v>
      </c>
      <c r="C4" s="33">
        <f>A4+5</f>
        <v>46129</v>
      </c>
      <c r="D4" s="34" t="s">
        <v>66</v>
      </c>
      <c r="E4" s="34" t="s">
        <v>67</v>
      </c>
      <c r="F4" s="16">
        <v>11810</v>
      </c>
      <c r="G4" s="16">
        <f t="shared" ref="G4:G5" si="0">F4*9%</f>
        <v>1062.8999999999999</v>
      </c>
      <c r="H4" s="16">
        <f t="shared" ref="H4:H5" si="1">F4*9%</f>
        <v>1062.8999999999999</v>
      </c>
      <c r="I4" s="16">
        <v>0</v>
      </c>
      <c r="J4" s="16">
        <f t="shared" ref="J4:J20" si="2">SUM(F4:I4)</f>
        <v>13935.8</v>
      </c>
      <c r="K4" s="16">
        <v>0</v>
      </c>
      <c r="L4" s="16">
        <v>0</v>
      </c>
      <c r="M4" s="16">
        <f t="shared" ref="M4:M9" si="3">F4*0.1</f>
        <v>1181</v>
      </c>
      <c r="N4" s="16">
        <f t="shared" ref="N4:N9" si="4">J4-M4</f>
        <v>12754.8</v>
      </c>
    </row>
    <row r="5" spans="1:14" x14ac:dyDescent="0.25">
      <c r="A5" s="32">
        <v>46143</v>
      </c>
      <c r="B5" s="32">
        <v>46143</v>
      </c>
      <c r="C5" s="33">
        <v>46176</v>
      </c>
      <c r="D5" s="34" t="s">
        <v>66</v>
      </c>
      <c r="E5" s="34" t="s">
        <v>67</v>
      </c>
      <c r="F5" s="16">
        <v>11553</v>
      </c>
      <c r="G5" s="16">
        <f t="shared" si="0"/>
        <v>1039.77</v>
      </c>
      <c r="H5" s="16">
        <f t="shared" si="1"/>
        <v>1039.77</v>
      </c>
      <c r="I5" s="16">
        <v>0</v>
      </c>
      <c r="J5" s="16">
        <f t="shared" si="2"/>
        <v>13632.54</v>
      </c>
      <c r="K5" s="16">
        <v>0</v>
      </c>
      <c r="L5" s="16">
        <v>0</v>
      </c>
      <c r="M5" s="16">
        <f t="shared" si="3"/>
        <v>1155.3</v>
      </c>
      <c r="N5" s="16">
        <f t="shared" si="4"/>
        <v>12477.240000000002</v>
      </c>
    </row>
    <row r="6" spans="1:14" x14ac:dyDescent="0.25">
      <c r="A6" s="32">
        <v>46113</v>
      </c>
      <c r="B6" s="32">
        <v>46113</v>
      </c>
      <c r="C6" s="33">
        <v>46163</v>
      </c>
      <c r="D6" s="34" t="s">
        <v>64</v>
      </c>
      <c r="E6" s="34" t="s">
        <v>65</v>
      </c>
      <c r="F6" s="16">
        <v>674816.21186440683</v>
      </c>
      <c r="G6" s="16"/>
      <c r="H6" s="16"/>
      <c r="I6" s="16">
        <f t="shared" ref="I6:I13" si="5">F6*0.18</f>
        <v>121466.91813559322</v>
      </c>
      <c r="J6" s="16">
        <f t="shared" si="2"/>
        <v>796283.13</v>
      </c>
      <c r="K6" s="16"/>
      <c r="L6" s="16"/>
      <c r="M6" s="16">
        <f t="shared" si="3"/>
        <v>67481.62118644068</v>
      </c>
      <c r="N6" s="16">
        <f t="shared" si="4"/>
        <v>728801.50881355931</v>
      </c>
    </row>
    <row r="7" spans="1:14" x14ac:dyDescent="0.25">
      <c r="A7" s="32">
        <v>46143</v>
      </c>
      <c r="B7" s="32">
        <v>46143</v>
      </c>
      <c r="C7" s="33">
        <v>46194</v>
      </c>
      <c r="D7" s="34" t="s">
        <v>64</v>
      </c>
      <c r="E7" s="34" t="s">
        <v>65</v>
      </c>
      <c r="F7" s="16">
        <v>674816.21186440683</v>
      </c>
      <c r="G7" s="16"/>
      <c r="H7" s="16"/>
      <c r="I7" s="16">
        <f t="shared" si="5"/>
        <v>121466.91813559322</v>
      </c>
      <c r="J7" s="16">
        <f t="shared" si="2"/>
        <v>796283.13</v>
      </c>
      <c r="K7" s="16"/>
      <c r="L7" s="16"/>
      <c r="M7" s="16">
        <f t="shared" si="3"/>
        <v>67481.62118644068</v>
      </c>
      <c r="N7" s="16">
        <f t="shared" si="4"/>
        <v>728801.50881355931</v>
      </c>
    </row>
    <row r="8" spans="1:14" x14ac:dyDescent="0.25">
      <c r="A8" s="32">
        <v>46143</v>
      </c>
      <c r="B8" s="32">
        <v>46143</v>
      </c>
      <c r="C8" s="33">
        <f>A8+9</f>
        <v>46152</v>
      </c>
      <c r="D8" s="34" t="s">
        <v>301</v>
      </c>
      <c r="E8" s="34" t="s">
        <v>302</v>
      </c>
      <c r="F8" s="16">
        <v>15000</v>
      </c>
      <c r="G8" s="16">
        <v>0</v>
      </c>
      <c r="H8" s="16">
        <v>0</v>
      </c>
      <c r="I8" s="16">
        <f t="shared" si="5"/>
        <v>2700</v>
      </c>
      <c r="J8" s="16">
        <f t="shared" si="2"/>
        <v>17700</v>
      </c>
      <c r="K8" s="16">
        <v>0</v>
      </c>
      <c r="L8" s="16">
        <v>0</v>
      </c>
      <c r="M8" s="16">
        <f t="shared" si="3"/>
        <v>1500</v>
      </c>
      <c r="N8" s="16">
        <f t="shared" si="4"/>
        <v>16200</v>
      </c>
    </row>
    <row r="9" spans="1:14" x14ac:dyDescent="0.25">
      <c r="A9" s="32">
        <v>46174</v>
      </c>
      <c r="B9" s="32">
        <v>46174</v>
      </c>
      <c r="C9" s="33">
        <f>A9+9</f>
        <v>46183</v>
      </c>
      <c r="D9" s="34" t="s">
        <v>301</v>
      </c>
      <c r="E9" s="34" t="s">
        <v>302</v>
      </c>
      <c r="F9" s="16">
        <v>15000</v>
      </c>
      <c r="G9" s="16">
        <v>0</v>
      </c>
      <c r="H9" s="16">
        <v>0</v>
      </c>
      <c r="I9" s="16">
        <f t="shared" si="5"/>
        <v>2700</v>
      </c>
      <c r="J9" s="16">
        <f t="shared" si="2"/>
        <v>17700</v>
      </c>
      <c r="K9" s="16">
        <v>0</v>
      </c>
      <c r="L9" s="16">
        <v>0</v>
      </c>
      <c r="M9" s="16">
        <f t="shared" si="3"/>
        <v>1500</v>
      </c>
      <c r="N9" s="16">
        <f t="shared" si="4"/>
        <v>16200</v>
      </c>
    </row>
    <row r="10" spans="1:14" x14ac:dyDescent="0.25">
      <c r="A10" s="32">
        <v>46113</v>
      </c>
      <c r="B10" s="32">
        <v>46113</v>
      </c>
      <c r="C10" s="33">
        <v>46135</v>
      </c>
      <c r="D10" s="34" t="s">
        <v>303</v>
      </c>
      <c r="E10" s="34" t="s">
        <v>65</v>
      </c>
      <c r="F10" s="16">
        <v>6999</v>
      </c>
      <c r="G10" s="16">
        <v>0</v>
      </c>
      <c r="H10" s="16">
        <v>0</v>
      </c>
      <c r="I10" s="16">
        <f t="shared" si="5"/>
        <v>1259.82</v>
      </c>
      <c r="J10" s="16">
        <f t="shared" si="2"/>
        <v>8258.82</v>
      </c>
      <c r="K10" s="16">
        <v>0</v>
      </c>
      <c r="L10" s="16">
        <v>0</v>
      </c>
      <c r="M10" s="16"/>
      <c r="N10" s="16">
        <f t="shared" ref="N10:N13" si="6">SUM(J10)-SUM(K10:M10)</f>
        <v>8258.82</v>
      </c>
    </row>
    <row r="11" spans="1:14" x14ac:dyDescent="0.25">
      <c r="A11" s="32">
        <v>46113</v>
      </c>
      <c r="B11" s="32">
        <v>46113</v>
      </c>
      <c r="C11" s="33">
        <v>46135</v>
      </c>
      <c r="D11" s="34" t="s">
        <v>303</v>
      </c>
      <c r="E11" s="34" t="s">
        <v>65</v>
      </c>
      <c r="F11" s="16">
        <v>239820</v>
      </c>
      <c r="G11" s="16">
        <v>0</v>
      </c>
      <c r="H11" s="16">
        <v>0</v>
      </c>
      <c r="I11" s="16">
        <f>F11*0.18</f>
        <v>43167.6</v>
      </c>
      <c r="J11" s="16">
        <f>SUM(F11:I11)</f>
        <v>282987.59999999998</v>
      </c>
      <c r="K11" s="16">
        <v>0</v>
      </c>
      <c r="L11" s="16">
        <v>0</v>
      </c>
      <c r="M11" s="16"/>
      <c r="N11" s="16">
        <f>SUM(J11)-SUM(K11:M11)</f>
        <v>282987.59999999998</v>
      </c>
    </row>
    <row r="12" spans="1:14" x14ac:dyDescent="0.25">
      <c r="A12" s="32">
        <v>46143</v>
      </c>
      <c r="B12" s="32">
        <v>46143</v>
      </c>
      <c r="C12" s="33">
        <v>46155</v>
      </c>
      <c r="D12" s="34" t="s">
        <v>303</v>
      </c>
      <c r="E12" s="34" t="s">
        <v>65</v>
      </c>
      <c r="F12" s="16">
        <v>297412</v>
      </c>
      <c r="G12" s="16">
        <v>0</v>
      </c>
      <c r="H12" s="16">
        <v>0</v>
      </c>
      <c r="I12" s="16">
        <f t="shared" si="5"/>
        <v>53534.159999999996</v>
      </c>
      <c r="J12" s="16">
        <f t="shared" si="2"/>
        <v>350946.16</v>
      </c>
      <c r="K12" s="16">
        <v>0</v>
      </c>
      <c r="L12" s="16">
        <v>0</v>
      </c>
      <c r="M12" s="16"/>
      <c r="N12" s="16">
        <f t="shared" si="6"/>
        <v>350946.16</v>
      </c>
    </row>
    <row r="13" spans="1:14" x14ac:dyDescent="0.25">
      <c r="A13" s="32">
        <v>46174</v>
      </c>
      <c r="B13" s="32">
        <v>46174</v>
      </c>
      <c r="C13" s="33">
        <v>46186</v>
      </c>
      <c r="D13" s="34" t="s">
        <v>303</v>
      </c>
      <c r="E13" s="34" t="s">
        <v>65</v>
      </c>
      <c r="F13" s="16">
        <v>297412</v>
      </c>
      <c r="G13" s="16">
        <v>0</v>
      </c>
      <c r="H13" s="16">
        <v>0</v>
      </c>
      <c r="I13" s="16">
        <f t="shared" si="5"/>
        <v>53534.159999999996</v>
      </c>
      <c r="J13" s="16">
        <f t="shared" si="2"/>
        <v>350946.16</v>
      </c>
      <c r="K13" s="16">
        <v>0</v>
      </c>
      <c r="L13" s="16">
        <v>0</v>
      </c>
      <c r="M13" s="16"/>
      <c r="N13" s="16">
        <f t="shared" si="6"/>
        <v>350946.16</v>
      </c>
    </row>
    <row r="14" spans="1:14" x14ac:dyDescent="0.25">
      <c r="A14" s="32">
        <v>46113</v>
      </c>
      <c r="B14" s="32">
        <v>46113</v>
      </c>
      <c r="C14" s="33">
        <v>46138</v>
      </c>
      <c r="D14" s="34" t="s">
        <v>304</v>
      </c>
      <c r="E14" s="34" t="s">
        <v>305</v>
      </c>
      <c r="F14" s="16">
        <v>10287</v>
      </c>
      <c r="G14" s="16">
        <f t="shared" ref="G14:G16" si="7">F14*9%</f>
        <v>925.82999999999993</v>
      </c>
      <c r="H14" s="16">
        <f t="shared" ref="H14:H16" si="8">F14*9%</f>
        <v>925.82999999999993</v>
      </c>
      <c r="I14" s="16"/>
      <c r="J14" s="16">
        <f t="shared" si="2"/>
        <v>12138.66</v>
      </c>
      <c r="K14" s="16">
        <f t="shared" ref="K14:K16" si="9">F14*0.1%</f>
        <v>10.287000000000001</v>
      </c>
      <c r="L14" s="16"/>
      <c r="M14" s="16"/>
      <c r="N14" s="16">
        <f t="shared" ref="N14:N16" si="10">J14-M14-K14-L14</f>
        <v>12128.373</v>
      </c>
    </row>
    <row r="15" spans="1:14" x14ac:dyDescent="0.25">
      <c r="A15" s="32">
        <v>46143</v>
      </c>
      <c r="B15" s="32">
        <v>46143</v>
      </c>
      <c r="C15" s="33">
        <v>46152</v>
      </c>
      <c r="D15" s="34" t="s">
        <v>304</v>
      </c>
      <c r="E15" s="34" t="s">
        <v>305</v>
      </c>
      <c r="F15" s="16">
        <v>10287</v>
      </c>
      <c r="G15" s="16">
        <f t="shared" si="7"/>
        <v>925.82999999999993</v>
      </c>
      <c r="H15" s="16">
        <f t="shared" si="8"/>
        <v>925.82999999999993</v>
      </c>
      <c r="I15" s="16"/>
      <c r="J15" s="16">
        <f t="shared" si="2"/>
        <v>12138.66</v>
      </c>
      <c r="K15" s="16">
        <f t="shared" si="9"/>
        <v>10.287000000000001</v>
      </c>
      <c r="L15" s="16"/>
      <c r="M15" s="16"/>
      <c r="N15" s="16">
        <f t="shared" si="10"/>
        <v>12128.373</v>
      </c>
    </row>
    <row r="16" spans="1:14" x14ac:dyDescent="0.25">
      <c r="A16" s="32">
        <v>46174</v>
      </c>
      <c r="B16" s="32">
        <v>46174</v>
      </c>
      <c r="C16" s="33">
        <v>46183</v>
      </c>
      <c r="D16" s="34" t="s">
        <v>304</v>
      </c>
      <c r="E16" s="34" t="s">
        <v>305</v>
      </c>
      <c r="F16" s="16">
        <v>10287</v>
      </c>
      <c r="G16" s="16">
        <f t="shared" si="7"/>
        <v>925.82999999999993</v>
      </c>
      <c r="H16" s="16">
        <f t="shared" si="8"/>
        <v>925.82999999999993</v>
      </c>
      <c r="I16" s="16"/>
      <c r="J16" s="16">
        <f t="shared" si="2"/>
        <v>12138.66</v>
      </c>
      <c r="K16" s="16">
        <f t="shared" si="9"/>
        <v>10.287000000000001</v>
      </c>
      <c r="L16" s="16"/>
      <c r="M16" s="16"/>
      <c r="N16" s="16">
        <f t="shared" si="10"/>
        <v>12128.373</v>
      </c>
    </row>
    <row r="17" spans="1:14" x14ac:dyDescent="0.25">
      <c r="A17" s="32">
        <v>46084</v>
      </c>
      <c r="B17" s="32">
        <v>46054</v>
      </c>
      <c r="C17" s="33">
        <f>A17+44</f>
        <v>46128</v>
      </c>
      <c r="D17" s="34" t="s">
        <v>306</v>
      </c>
      <c r="E17" s="34" t="s">
        <v>307</v>
      </c>
      <c r="F17" s="16">
        <v>28000</v>
      </c>
      <c r="G17" s="16">
        <f t="shared" ref="G17:G25" si="11">F17*0.09</f>
        <v>2520</v>
      </c>
      <c r="H17" s="16">
        <f t="shared" ref="H17:H34" si="12">F17*0.09</f>
        <v>2520</v>
      </c>
      <c r="I17" s="16"/>
      <c r="J17" s="16">
        <f t="shared" si="2"/>
        <v>33040</v>
      </c>
      <c r="K17" s="16">
        <v>0</v>
      </c>
      <c r="L17" s="16"/>
      <c r="M17" s="16">
        <f t="shared" ref="M17:M25" si="13">F17*0.1</f>
        <v>2800</v>
      </c>
      <c r="N17" s="16">
        <f t="shared" ref="N17:N25" si="14">J17-M17</f>
        <v>30240</v>
      </c>
    </row>
    <row r="18" spans="1:14" x14ac:dyDescent="0.25">
      <c r="A18" s="32">
        <v>46122</v>
      </c>
      <c r="B18" s="32">
        <v>46082</v>
      </c>
      <c r="C18" s="33">
        <f>A18+25</f>
        <v>46147</v>
      </c>
      <c r="D18" s="34" t="s">
        <v>306</v>
      </c>
      <c r="E18" s="34" t="s">
        <v>307</v>
      </c>
      <c r="F18" s="16">
        <v>28000</v>
      </c>
      <c r="G18" s="16">
        <f t="shared" si="11"/>
        <v>2520</v>
      </c>
      <c r="H18" s="16">
        <f t="shared" si="12"/>
        <v>2520</v>
      </c>
      <c r="I18" s="16"/>
      <c r="J18" s="16">
        <f t="shared" si="2"/>
        <v>33040</v>
      </c>
      <c r="K18" s="16">
        <v>0</v>
      </c>
      <c r="L18" s="16"/>
      <c r="M18" s="16">
        <f t="shared" si="13"/>
        <v>2800</v>
      </c>
      <c r="N18" s="16">
        <f t="shared" si="14"/>
        <v>30240</v>
      </c>
    </row>
    <row r="19" spans="1:14" x14ac:dyDescent="0.25">
      <c r="A19" s="32">
        <v>46152</v>
      </c>
      <c r="B19" s="32">
        <v>46113</v>
      </c>
      <c r="C19" s="33">
        <f t="shared" ref="C19:C20" si="15">B19+25</f>
        <v>46138</v>
      </c>
      <c r="D19" s="34" t="s">
        <v>306</v>
      </c>
      <c r="E19" s="34" t="s">
        <v>307</v>
      </c>
      <c r="F19" s="16">
        <v>28000</v>
      </c>
      <c r="G19" s="16">
        <f t="shared" si="11"/>
        <v>2520</v>
      </c>
      <c r="H19" s="16">
        <f t="shared" si="12"/>
        <v>2520</v>
      </c>
      <c r="I19" s="16"/>
      <c r="J19" s="16">
        <f t="shared" si="2"/>
        <v>33040</v>
      </c>
      <c r="K19" s="16">
        <v>0</v>
      </c>
      <c r="L19" s="16"/>
      <c r="M19" s="16">
        <f t="shared" si="13"/>
        <v>2800</v>
      </c>
      <c r="N19" s="16">
        <f t="shared" si="14"/>
        <v>30240</v>
      </c>
    </row>
    <row r="20" spans="1:14" x14ac:dyDescent="0.25">
      <c r="A20" s="32">
        <v>46183</v>
      </c>
      <c r="B20" s="32">
        <v>46152</v>
      </c>
      <c r="C20" s="33">
        <f t="shared" si="15"/>
        <v>46177</v>
      </c>
      <c r="D20" s="34" t="s">
        <v>306</v>
      </c>
      <c r="E20" s="34" t="s">
        <v>307</v>
      </c>
      <c r="F20" s="16">
        <v>28000</v>
      </c>
      <c r="G20" s="16">
        <f t="shared" si="11"/>
        <v>2520</v>
      </c>
      <c r="H20" s="16">
        <f t="shared" si="12"/>
        <v>2520</v>
      </c>
      <c r="I20" s="16"/>
      <c r="J20" s="16">
        <f t="shared" si="2"/>
        <v>33040</v>
      </c>
      <c r="K20" s="16">
        <v>0</v>
      </c>
      <c r="L20" s="16"/>
      <c r="M20" s="16">
        <f t="shared" si="13"/>
        <v>2800</v>
      </c>
      <c r="N20" s="16">
        <f t="shared" si="14"/>
        <v>30240</v>
      </c>
    </row>
    <row r="21" spans="1:14" x14ac:dyDescent="0.25">
      <c r="A21" s="32">
        <v>46054</v>
      </c>
      <c r="B21" s="32">
        <v>46054</v>
      </c>
      <c r="C21" s="33">
        <v>46155</v>
      </c>
      <c r="D21" s="34" t="s">
        <v>308</v>
      </c>
      <c r="E21" s="34" t="s">
        <v>67</v>
      </c>
      <c r="F21" s="16">
        <v>10500</v>
      </c>
      <c r="G21" s="16">
        <f t="shared" si="11"/>
        <v>945</v>
      </c>
      <c r="H21" s="16">
        <f t="shared" si="12"/>
        <v>945</v>
      </c>
      <c r="I21" s="16"/>
      <c r="J21" s="16">
        <f t="shared" ref="J21:J34" si="16">SUM(F21:I21)</f>
        <v>12390</v>
      </c>
      <c r="K21" s="16">
        <v>0</v>
      </c>
      <c r="L21" s="16"/>
      <c r="M21" s="16">
        <f t="shared" si="13"/>
        <v>1050</v>
      </c>
      <c r="N21" s="16">
        <f t="shared" si="14"/>
        <v>11340</v>
      </c>
    </row>
    <row r="22" spans="1:14" x14ac:dyDescent="0.25">
      <c r="A22" s="32">
        <v>46082</v>
      </c>
      <c r="B22" s="32">
        <v>46082</v>
      </c>
      <c r="C22" s="33">
        <v>46186</v>
      </c>
      <c r="D22" s="34" t="s">
        <v>308</v>
      </c>
      <c r="E22" s="34" t="s">
        <v>67</v>
      </c>
      <c r="F22" s="16">
        <v>10500</v>
      </c>
      <c r="G22" s="16">
        <f t="shared" si="11"/>
        <v>945</v>
      </c>
      <c r="H22" s="16">
        <f t="shared" si="12"/>
        <v>945</v>
      </c>
      <c r="I22" s="16"/>
      <c r="J22" s="16">
        <f t="shared" si="16"/>
        <v>12390</v>
      </c>
      <c r="K22" s="16">
        <v>0</v>
      </c>
      <c r="L22" s="16"/>
      <c r="M22" s="16">
        <f t="shared" si="13"/>
        <v>1050</v>
      </c>
      <c r="N22" s="16">
        <f t="shared" si="14"/>
        <v>11340</v>
      </c>
    </row>
    <row r="23" spans="1:14" x14ac:dyDescent="0.25">
      <c r="A23" s="32">
        <v>46113</v>
      </c>
      <c r="B23" s="32">
        <v>46113</v>
      </c>
      <c r="C23" s="33">
        <f>B23+25</f>
        <v>46138</v>
      </c>
      <c r="D23" s="34" t="s">
        <v>308</v>
      </c>
      <c r="E23" s="34" t="s">
        <v>67</v>
      </c>
      <c r="F23" s="16">
        <v>10500</v>
      </c>
      <c r="G23" s="16">
        <f t="shared" si="11"/>
        <v>945</v>
      </c>
      <c r="H23" s="16">
        <f t="shared" si="12"/>
        <v>945</v>
      </c>
      <c r="I23" s="16"/>
      <c r="J23" s="16">
        <f t="shared" si="16"/>
        <v>12390</v>
      </c>
      <c r="K23" s="16">
        <v>0</v>
      </c>
      <c r="L23" s="16"/>
      <c r="M23" s="16">
        <f t="shared" si="13"/>
        <v>1050</v>
      </c>
      <c r="N23" s="16">
        <f t="shared" si="14"/>
        <v>11340</v>
      </c>
    </row>
    <row r="24" spans="1:14" x14ac:dyDescent="0.25">
      <c r="A24" s="32">
        <v>46143</v>
      </c>
      <c r="B24" s="32">
        <v>46143</v>
      </c>
      <c r="C24" s="33">
        <f t="shared" ref="C24:C25" si="17">B24+15</f>
        <v>46158</v>
      </c>
      <c r="D24" s="34" t="s">
        <v>308</v>
      </c>
      <c r="E24" s="34" t="s">
        <v>67</v>
      </c>
      <c r="F24" s="16">
        <v>10500</v>
      </c>
      <c r="G24" s="16">
        <f t="shared" si="11"/>
        <v>945</v>
      </c>
      <c r="H24" s="16">
        <f t="shared" si="12"/>
        <v>945</v>
      </c>
      <c r="I24" s="16"/>
      <c r="J24" s="16">
        <f t="shared" si="16"/>
        <v>12390</v>
      </c>
      <c r="K24" s="16">
        <v>0</v>
      </c>
      <c r="L24" s="16"/>
      <c r="M24" s="16">
        <f t="shared" si="13"/>
        <v>1050</v>
      </c>
      <c r="N24" s="16">
        <f t="shared" si="14"/>
        <v>11340</v>
      </c>
    </row>
    <row r="25" spans="1:14" x14ac:dyDescent="0.25">
      <c r="A25" s="32">
        <v>46174</v>
      </c>
      <c r="B25" s="32">
        <v>46174</v>
      </c>
      <c r="C25" s="33">
        <f t="shared" si="17"/>
        <v>46189</v>
      </c>
      <c r="D25" s="34" t="s">
        <v>308</v>
      </c>
      <c r="E25" s="34" t="s">
        <v>67</v>
      </c>
      <c r="F25" s="16">
        <v>10500</v>
      </c>
      <c r="G25" s="16">
        <f t="shared" si="11"/>
        <v>945</v>
      </c>
      <c r="H25" s="16">
        <f t="shared" si="12"/>
        <v>945</v>
      </c>
      <c r="I25" s="16"/>
      <c r="J25" s="16">
        <f t="shared" si="16"/>
        <v>12390</v>
      </c>
      <c r="K25" s="16">
        <v>0</v>
      </c>
      <c r="L25" s="16"/>
      <c r="M25" s="16">
        <f t="shared" si="13"/>
        <v>1050</v>
      </c>
      <c r="N25" s="16">
        <f t="shared" si="14"/>
        <v>11340</v>
      </c>
    </row>
    <row r="26" spans="1:14" x14ac:dyDescent="0.25">
      <c r="A26" s="32">
        <v>45931</v>
      </c>
      <c r="B26" s="35" t="s">
        <v>309</v>
      </c>
      <c r="C26" s="33">
        <v>46128</v>
      </c>
      <c r="D26" s="36" t="s">
        <v>310</v>
      </c>
      <c r="E26" s="13" t="s">
        <v>305</v>
      </c>
      <c r="F26" s="16">
        <v>8000</v>
      </c>
      <c r="G26" s="13">
        <f>F26*0.09</f>
        <v>720</v>
      </c>
      <c r="H26" s="13">
        <f t="shared" si="12"/>
        <v>720</v>
      </c>
      <c r="J26" s="13">
        <f t="shared" si="16"/>
        <v>9440</v>
      </c>
      <c r="L26" s="37"/>
      <c r="M26" s="38">
        <f>F26*0.001</f>
        <v>8</v>
      </c>
      <c r="N26" s="16">
        <f>J26-M26-K26-L26</f>
        <v>9432</v>
      </c>
    </row>
    <row r="27" spans="1:14" x14ac:dyDescent="0.25">
      <c r="A27" s="32">
        <v>46115</v>
      </c>
      <c r="B27" s="32">
        <v>46082</v>
      </c>
      <c r="C27" s="33">
        <f>A27+35</f>
        <v>46150</v>
      </c>
      <c r="D27" s="34" t="s">
        <v>306</v>
      </c>
      <c r="E27" s="34" t="s">
        <v>311</v>
      </c>
      <c r="F27" s="16">
        <v>103750</v>
      </c>
      <c r="G27" s="16">
        <f>F27*0.09</f>
        <v>9337.5</v>
      </c>
      <c r="H27" s="16">
        <f t="shared" si="12"/>
        <v>9337.5</v>
      </c>
      <c r="I27" s="16"/>
      <c r="J27" s="16">
        <f t="shared" si="16"/>
        <v>122425</v>
      </c>
      <c r="K27" s="16">
        <v>0</v>
      </c>
      <c r="L27" s="16"/>
      <c r="M27" s="16">
        <f t="shared" ref="M27:M31" si="18">F27*0.1</f>
        <v>10375</v>
      </c>
      <c r="N27" s="16">
        <f t="shared" ref="N27:N31" si="19">J27-M27</f>
        <v>112050</v>
      </c>
    </row>
    <row r="28" spans="1:14" x14ac:dyDescent="0.25">
      <c r="A28" s="32">
        <v>46183</v>
      </c>
      <c r="B28" s="32">
        <v>46183</v>
      </c>
      <c r="C28" s="39">
        <f>A28+7</f>
        <v>46190</v>
      </c>
      <c r="D28" s="34" t="s">
        <v>306</v>
      </c>
      <c r="E28" s="34" t="s">
        <v>311</v>
      </c>
      <c r="F28" s="16">
        <v>103750</v>
      </c>
      <c r="G28" s="16">
        <f t="shared" ref="G28:G34" si="20">F28*0.09</f>
        <v>9337.5</v>
      </c>
      <c r="H28" s="16">
        <f t="shared" si="12"/>
        <v>9337.5</v>
      </c>
      <c r="I28" s="16"/>
      <c r="J28" s="16">
        <f t="shared" si="16"/>
        <v>122425</v>
      </c>
      <c r="K28" s="16">
        <v>0</v>
      </c>
      <c r="L28" s="16"/>
      <c r="M28" s="16">
        <f t="shared" si="18"/>
        <v>10375</v>
      </c>
      <c r="N28" s="16">
        <f t="shared" si="19"/>
        <v>112050</v>
      </c>
    </row>
    <row r="29" spans="1:14" x14ac:dyDescent="0.25">
      <c r="A29" s="32">
        <v>46091</v>
      </c>
      <c r="B29" s="32">
        <v>46091</v>
      </c>
      <c r="C29" s="33">
        <f>A29+65</f>
        <v>46156</v>
      </c>
      <c r="D29" s="34" t="s">
        <v>306</v>
      </c>
      <c r="E29" s="34" t="s">
        <v>311</v>
      </c>
      <c r="F29" s="16">
        <v>10282</v>
      </c>
      <c r="G29" s="16">
        <f t="shared" si="20"/>
        <v>925.38</v>
      </c>
      <c r="H29" s="16">
        <f t="shared" si="12"/>
        <v>925.38</v>
      </c>
      <c r="I29" s="16"/>
      <c r="J29" s="16">
        <f t="shared" si="16"/>
        <v>12132.759999999998</v>
      </c>
      <c r="K29" s="16">
        <v>0</v>
      </c>
      <c r="L29" s="16"/>
      <c r="M29" s="16">
        <f t="shared" si="18"/>
        <v>1028.2</v>
      </c>
      <c r="N29" s="16">
        <f t="shared" si="19"/>
        <v>11104.559999999998</v>
      </c>
    </row>
    <row r="30" spans="1:14" x14ac:dyDescent="0.25">
      <c r="A30" s="32">
        <v>46122</v>
      </c>
      <c r="B30" s="32">
        <v>46122</v>
      </c>
      <c r="C30" s="39">
        <f>A30+30</f>
        <v>46152</v>
      </c>
      <c r="D30" s="34" t="s">
        <v>306</v>
      </c>
      <c r="E30" s="34" t="s">
        <v>311</v>
      </c>
      <c r="F30" s="16">
        <v>10282</v>
      </c>
      <c r="G30" s="16">
        <f t="shared" si="20"/>
        <v>925.38</v>
      </c>
      <c r="H30" s="16">
        <f t="shared" si="12"/>
        <v>925.38</v>
      </c>
      <c r="I30" s="16"/>
      <c r="J30" s="16">
        <f t="shared" si="16"/>
        <v>12132.759999999998</v>
      </c>
      <c r="K30" s="16">
        <v>0</v>
      </c>
      <c r="L30" s="16"/>
      <c r="M30" s="16">
        <f t="shared" si="18"/>
        <v>1028.2</v>
      </c>
      <c r="N30" s="16">
        <f t="shared" si="19"/>
        <v>11104.559999999998</v>
      </c>
    </row>
    <row r="31" spans="1:14" x14ac:dyDescent="0.25">
      <c r="A31" s="32">
        <v>46152</v>
      </c>
      <c r="B31" s="32">
        <v>46152</v>
      </c>
      <c r="C31" s="39">
        <f>A31+30</f>
        <v>46182</v>
      </c>
      <c r="D31" s="34" t="s">
        <v>306</v>
      </c>
      <c r="E31" s="34" t="s">
        <v>311</v>
      </c>
      <c r="F31" s="16">
        <v>10282</v>
      </c>
      <c r="G31" s="16">
        <f t="shared" si="20"/>
        <v>925.38</v>
      </c>
      <c r="H31" s="16">
        <f t="shared" si="12"/>
        <v>925.38</v>
      </c>
      <c r="I31" s="16"/>
      <c r="J31" s="16">
        <f t="shared" si="16"/>
        <v>12132.759999999998</v>
      </c>
      <c r="K31" s="16">
        <v>0</v>
      </c>
      <c r="L31" s="16"/>
      <c r="M31" s="16">
        <f t="shared" si="18"/>
        <v>1028.2</v>
      </c>
      <c r="N31" s="16">
        <f t="shared" si="19"/>
        <v>11104.559999999998</v>
      </c>
    </row>
    <row r="32" spans="1:14" x14ac:dyDescent="0.25">
      <c r="A32" s="32">
        <v>46115</v>
      </c>
      <c r="B32" s="32">
        <v>46122</v>
      </c>
      <c r="C32" s="33">
        <f>A32+25</f>
        <v>46140</v>
      </c>
      <c r="D32" s="36" t="s">
        <v>310</v>
      </c>
      <c r="E32" s="13" t="s">
        <v>305</v>
      </c>
      <c r="F32" s="16">
        <v>8500</v>
      </c>
      <c r="G32" s="13">
        <f t="shared" si="20"/>
        <v>765</v>
      </c>
      <c r="H32" s="13">
        <f t="shared" si="12"/>
        <v>765</v>
      </c>
      <c r="J32" s="13">
        <f t="shared" si="16"/>
        <v>10030</v>
      </c>
      <c r="L32" s="37"/>
      <c r="M32" s="38">
        <f t="shared" ref="M32:M34" si="21">F32*0.001</f>
        <v>8.5</v>
      </c>
      <c r="N32" s="16">
        <f t="shared" ref="N32:N34" si="22">J32-M32-K32-L32</f>
        <v>10021.5</v>
      </c>
    </row>
    <row r="33" spans="1:14" x14ac:dyDescent="0.25">
      <c r="A33" s="32">
        <v>46145</v>
      </c>
      <c r="B33" s="32">
        <v>46152</v>
      </c>
      <c r="C33" s="33">
        <f>A33+7</f>
        <v>46152</v>
      </c>
      <c r="D33" s="36" t="s">
        <v>310</v>
      </c>
      <c r="E33" s="13" t="s">
        <v>305</v>
      </c>
      <c r="F33" s="16">
        <v>8500</v>
      </c>
      <c r="G33" s="13">
        <f t="shared" si="20"/>
        <v>765</v>
      </c>
      <c r="H33" s="13">
        <f t="shared" si="12"/>
        <v>765</v>
      </c>
      <c r="J33" s="13">
        <f t="shared" si="16"/>
        <v>10030</v>
      </c>
      <c r="L33" s="37"/>
      <c r="M33" s="38">
        <f t="shared" si="21"/>
        <v>8.5</v>
      </c>
      <c r="N33" s="16">
        <f t="shared" si="22"/>
        <v>10021.5</v>
      </c>
    </row>
    <row r="34" spans="1:14" x14ac:dyDescent="0.25">
      <c r="A34" s="32">
        <v>46176</v>
      </c>
      <c r="B34" s="32">
        <v>46183</v>
      </c>
      <c r="C34" s="33">
        <f>A34+7</f>
        <v>46183</v>
      </c>
      <c r="D34" s="36" t="s">
        <v>310</v>
      </c>
      <c r="E34" s="13" t="s">
        <v>305</v>
      </c>
      <c r="F34" s="16">
        <v>8500</v>
      </c>
      <c r="G34" s="13">
        <f t="shared" si="20"/>
        <v>765</v>
      </c>
      <c r="H34" s="13">
        <f t="shared" si="12"/>
        <v>765</v>
      </c>
      <c r="J34" s="13">
        <f t="shared" si="16"/>
        <v>10030</v>
      </c>
      <c r="L34" s="37"/>
      <c r="M34" s="38">
        <f t="shared" si="21"/>
        <v>8.5</v>
      </c>
      <c r="N34" s="16">
        <f t="shared" si="22"/>
        <v>10021.5</v>
      </c>
    </row>
    <row r="35" spans="1:14" x14ac:dyDescent="0.25">
      <c r="A35" s="32">
        <v>44994</v>
      </c>
      <c r="B35" s="40">
        <v>44986</v>
      </c>
      <c r="C35" s="41">
        <v>46135</v>
      </c>
      <c r="D35" s="42" t="s">
        <v>84</v>
      </c>
      <c r="E35" s="13" t="s">
        <v>85</v>
      </c>
      <c r="F35" s="16">
        <v>14790</v>
      </c>
      <c r="G35" s="16">
        <f>F35*0.09</f>
        <v>1331.1</v>
      </c>
      <c r="H35" s="16">
        <f>F35*0.09</f>
        <v>1331.1</v>
      </c>
      <c r="I35" s="16">
        <v>0</v>
      </c>
      <c r="J35" s="16">
        <f>SUM(F35:I35)</f>
        <v>17452.2</v>
      </c>
      <c r="K35" s="16">
        <v>0</v>
      </c>
      <c r="L35" s="16">
        <f>F35*0.02</f>
        <v>295.8</v>
      </c>
      <c r="M35" s="16"/>
      <c r="N35" s="16">
        <v>17156.400000000001</v>
      </c>
    </row>
    <row r="36" spans="1:14" x14ac:dyDescent="0.25">
      <c r="A36" s="32">
        <v>45075</v>
      </c>
      <c r="B36" s="40"/>
      <c r="C36" s="41">
        <v>46135</v>
      </c>
      <c r="D36" s="42" t="s">
        <v>86</v>
      </c>
      <c r="E36" s="13" t="s">
        <v>87</v>
      </c>
      <c r="F36" s="16">
        <v>267</v>
      </c>
      <c r="G36" s="16"/>
      <c r="H36" s="16"/>
      <c r="I36" s="16"/>
      <c r="J36" s="16">
        <f>F36</f>
        <v>267</v>
      </c>
      <c r="K36" s="16"/>
      <c r="L36" s="16"/>
      <c r="M36" s="16"/>
      <c r="N36" s="16">
        <v>267</v>
      </c>
    </row>
    <row r="37" spans="1:14" x14ac:dyDescent="0.25">
      <c r="A37" s="32">
        <v>45419</v>
      </c>
      <c r="B37" s="40"/>
      <c r="C37" s="41">
        <v>46135</v>
      </c>
      <c r="D37" s="42" t="s">
        <v>86</v>
      </c>
      <c r="E37" s="13" t="s">
        <v>87</v>
      </c>
      <c r="F37" s="16">
        <v>1051</v>
      </c>
      <c r="G37" s="16"/>
      <c r="H37" s="16"/>
      <c r="I37" s="16"/>
      <c r="J37" s="16">
        <f>F37</f>
        <v>1051</v>
      </c>
      <c r="K37" s="16"/>
      <c r="L37" s="16"/>
      <c r="M37" s="16"/>
      <c r="N37" s="16">
        <v>1051</v>
      </c>
    </row>
    <row r="38" spans="1:14" x14ac:dyDescent="0.25">
      <c r="A38" s="32">
        <v>45597</v>
      </c>
      <c r="B38" s="40"/>
      <c r="C38" s="41">
        <v>46135</v>
      </c>
      <c r="D38" s="42" t="s">
        <v>86</v>
      </c>
      <c r="E38" s="13" t="s">
        <v>87</v>
      </c>
      <c r="F38" s="16">
        <v>4425</v>
      </c>
      <c r="G38" s="16"/>
      <c r="H38" s="16"/>
      <c r="I38" s="16"/>
      <c r="J38" s="16">
        <f>F38</f>
        <v>4425</v>
      </c>
      <c r="K38" s="16"/>
      <c r="L38" s="16"/>
      <c r="M38" s="16"/>
      <c r="N38" s="16">
        <v>4425</v>
      </c>
    </row>
    <row r="39" spans="1:14" x14ac:dyDescent="0.25">
      <c r="A39" s="32">
        <v>45685</v>
      </c>
      <c r="B39" s="40"/>
      <c r="C39" s="41">
        <v>46135</v>
      </c>
      <c r="D39" s="42" t="s">
        <v>86</v>
      </c>
      <c r="E39" s="13" t="s">
        <v>87</v>
      </c>
      <c r="F39" s="16">
        <v>3712</v>
      </c>
      <c r="G39" s="16"/>
      <c r="H39" s="16"/>
      <c r="I39" s="16"/>
      <c r="J39" s="16">
        <f>F39</f>
        <v>3712</v>
      </c>
      <c r="K39" s="16"/>
      <c r="L39" s="16"/>
      <c r="M39" s="16"/>
      <c r="N39" s="16">
        <v>3712</v>
      </c>
    </row>
    <row r="40" spans="1:14" x14ac:dyDescent="0.25">
      <c r="A40" s="32">
        <v>45892</v>
      </c>
      <c r="B40" s="40">
        <v>45870</v>
      </c>
      <c r="C40" s="41">
        <v>46135</v>
      </c>
      <c r="D40" s="42" t="s">
        <v>86</v>
      </c>
      <c r="E40" s="13" t="s">
        <v>87</v>
      </c>
      <c r="F40" s="16">
        <v>2650</v>
      </c>
      <c r="G40" s="16">
        <f>F40*9%</f>
        <v>238.5</v>
      </c>
      <c r="H40" s="16">
        <f>G40</f>
        <v>238.5</v>
      </c>
      <c r="I40" s="16"/>
      <c r="J40" s="16">
        <f t="shared" ref="J40:J66" si="23">SUM(F40:I40)</f>
        <v>3127</v>
      </c>
      <c r="K40" s="16">
        <f>F40*2%</f>
        <v>53</v>
      </c>
      <c r="L40" s="16"/>
      <c r="M40" s="16"/>
      <c r="N40" s="16">
        <v>3074</v>
      </c>
    </row>
    <row r="41" spans="1:14" x14ac:dyDescent="0.25">
      <c r="A41" s="43"/>
      <c r="B41" s="40"/>
      <c r="C41" s="41">
        <v>46135</v>
      </c>
      <c r="D41" s="42" t="s">
        <v>349</v>
      </c>
      <c r="F41" s="16">
        <v>350000</v>
      </c>
      <c r="G41" s="16"/>
      <c r="H41" s="16"/>
      <c r="I41" s="16"/>
      <c r="J41" s="16">
        <f>SUM(F41:I41)</f>
        <v>350000</v>
      </c>
      <c r="K41" s="16"/>
      <c r="L41" s="16"/>
      <c r="M41" s="16"/>
      <c r="N41" s="16">
        <v>350000</v>
      </c>
    </row>
    <row r="42" spans="1:14" x14ac:dyDescent="0.25">
      <c r="A42" s="43"/>
      <c r="B42" s="40"/>
      <c r="C42" s="41">
        <v>46135</v>
      </c>
      <c r="D42" s="42" t="s">
        <v>349</v>
      </c>
      <c r="F42" s="16">
        <v>700000</v>
      </c>
      <c r="G42" s="16"/>
      <c r="H42" s="16"/>
      <c r="I42" s="16"/>
      <c r="J42" s="16">
        <f t="shared" si="23"/>
        <v>700000</v>
      </c>
      <c r="K42" s="16"/>
      <c r="L42" s="16"/>
      <c r="M42" s="16"/>
      <c r="N42" s="16">
        <v>700000</v>
      </c>
    </row>
    <row r="43" spans="1:14" x14ac:dyDescent="0.25">
      <c r="A43" s="43"/>
      <c r="B43" s="40">
        <v>46054</v>
      </c>
      <c r="C43" s="41">
        <v>46135</v>
      </c>
      <c r="D43" s="42" t="s">
        <v>350</v>
      </c>
      <c r="E43" s="13" t="s">
        <v>351</v>
      </c>
      <c r="F43" s="16">
        <v>495000</v>
      </c>
      <c r="G43" s="16"/>
      <c r="H43" s="16"/>
      <c r="I43" s="16">
        <v>0</v>
      </c>
      <c r="J43" s="16">
        <f t="shared" si="23"/>
        <v>495000</v>
      </c>
      <c r="K43" s="16"/>
      <c r="L43" s="16"/>
      <c r="M43" s="16"/>
      <c r="N43" s="16">
        <v>495000</v>
      </c>
    </row>
    <row r="44" spans="1:14" x14ac:dyDescent="0.25">
      <c r="A44" s="43"/>
      <c r="B44" s="40">
        <v>46082</v>
      </c>
      <c r="C44" s="44">
        <f>B44+70</f>
        <v>46152</v>
      </c>
      <c r="D44" s="42" t="s">
        <v>350</v>
      </c>
      <c r="E44" s="13" t="s">
        <v>351</v>
      </c>
      <c r="F44" s="16">
        <v>495000</v>
      </c>
      <c r="G44" s="16"/>
      <c r="H44" s="16"/>
      <c r="I44" s="16">
        <v>0</v>
      </c>
      <c r="J44" s="16">
        <f t="shared" si="23"/>
        <v>495000</v>
      </c>
      <c r="K44" s="16"/>
      <c r="L44" s="16"/>
      <c r="M44" s="16"/>
      <c r="N44" s="16">
        <v>495000</v>
      </c>
    </row>
    <row r="45" spans="1:14" x14ac:dyDescent="0.25">
      <c r="A45" s="43">
        <v>45203</v>
      </c>
      <c r="B45" s="40">
        <v>45200</v>
      </c>
      <c r="C45" s="41">
        <v>46135</v>
      </c>
      <c r="D45" s="42" t="s">
        <v>352</v>
      </c>
      <c r="F45" s="16">
        <v>19000</v>
      </c>
      <c r="G45" s="16">
        <f>F45*0.09</f>
        <v>1710</v>
      </c>
      <c r="H45" s="16">
        <f>F45*0.09</f>
        <v>1710</v>
      </c>
      <c r="I45" s="16">
        <v>0</v>
      </c>
      <c r="J45" s="16">
        <f t="shared" si="23"/>
        <v>22420</v>
      </c>
      <c r="K45" s="16"/>
      <c r="L45" s="16">
        <f>F45*0.1</f>
        <v>1900</v>
      </c>
      <c r="M45" s="16"/>
      <c r="N45" s="16">
        <v>20520</v>
      </c>
    </row>
    <row r="46" spans="1:14" x14ac:dyDescent="0.25">
      <c r="A46" s="43">
        <v>45369</v>
      </c>
      <c r="B46" s="40">
        <v>45352</v>
      </c>
      <c r="C46" s="41">
        <v>46135</v>
      </c>
      <c r="D46" s="42" t="s">
        <v>353</v>
      </c>
      <c r="E46" s="13" t="s">
        <v>354</v>
      </c>
      <c r="F46" s="16">
        <v>26953</v>
      </c>
      <c r="G46" s="16">
        <v>3773.5</v>
      </c>
      <c r="H46" s="16">
        <v>3773.5</v>
      </c>
      <c r="I46" s="16">
        <v>0</v>
      </c>
      <c r="J46" s="16">
        <f t="shared" si="23"/>
        <v>34500</v>
      </c>
      <c r="K46" s="16"/>
      <c r="L46" s="16">
        <v>0</v>
      </c>
      <c r="M46" s="16"/>
      <c r="N46" s="16">
        <v>34500</v>
      </c>
    </row>
    <row r="47" spans="1:14" x14ac:dyDescent="0.25">
      <c r="A47" s="43">
        <v>45260</v>
      </c>
      <c r="B47" s="40">
        <v>45231</v>
      </c>
      <c r="C47" s="41">
        <v>46135</v>
      </c>
      <c r="D47" s="42" t="s">
        <v>355</v>
      </c>
      <c r="E47" s="13" t="s">
        <v>85</v>
      </c>
      <c r="F47" s="16">
        <v>20358</v>
      </c>
      <c r="G47" s="16"/>
      <c r="H47" s="16"/>
      <c r="I47" s="16">
        <v>0</v>
      </c>
      <c r="J47" s="16">
        <f t="shared" si="23"/>
        <v>20358</v>
      </c>
      <c r="K47" s="16"/>
      <c r="L47" s="16">
        <v>0</v>
      </c>
      <c r="M47" s="16"/>
      <c r="N47" s="16">
        <v>20358</v>
      </c>
    </row>
    <row r="48" spans="1:14" x14ac:dyDescent="0.25">
      <c r="A48" s="43">
        <v>46082</v>
      </c>
      <c r="B48" s="40">
        <v>46054</v>
      </c>
      <c r="C48" s="41">
        <v>46135</v>
      </c>
      <c r="D48" s="42" t="s">
        <v>356</v>
      </c>
      <c r="E48" s="13" t="s">
        <v>357</v>
      </c>
      <c r="F48" s="16">
        <v>100000</v>
      </c>
      <c r="G48" s="16">
        <f>F48*0.09</f>
        <v>9000</v>
      </c>
      <c r="H48" s="16">
        <f t="shared" ref="H48:H60" si="24">F48*0.09</f>
        <v>9000</v>
      </c>
      <c r="I48" s="16">
        <v>0</v>
      </c>
      <c r="J48" s="16">
        <f t="shared" si="23"/>
        <v>118000</v>
      </c>
      <c r="K48" s="16">
        <v>0</v>
      </c>
      <c r="L48" s="16">
        <f>F48*0.1</f>
        <v>10000</v>
      </c>
      <c r="M48" s="16"/>
      <c r="N48" s="16">
        <v>108000</v>
      </c>
    </row>
    <row r="49" spans="1:14" x14ac:dyDescent="0.25">
      <c r="A49" s="43">
        <v>46112</v>
      </c>
      <c r="B49" s="40">
        <v>46082</v>
      </c>
      <c r="C49" s="41">
        <v>46137</v>
      </c>
      <c r="D49" s="42" t="s">
        <v>356</v>
      </c>
      <c r="E49" s="13" t="s">
        <v>357</v>
      </c>
      <c r="F49" s="16">
        <v>100000</v>
      </c>
      <c r="G49" s="16">
        <f>F49*0.09</f>
        <v>9000</v>
      </c>
      <c r="H49" s="16">
        <f t="shared" si="24"/>
        <v>9000</v>
      </c>
      <c r="I49" s="16">
        <v>0</v>
      </c>
      <c r="J49" s="16">
        <f t="shared" si="23"/>
        <v>118000</v>
      </c>
      <c r="K49" s="16">
        <v>0</v>
      </c>
      <c r="L49" s="16">
        <f>F49*0.1</f>
        <v>10000</v>
      </c>
      <c r="M49" s="16"/>
      <c r="N49" s="16">
        <v>108000</v>
      </c>
    </row>
    <row r="50" spans="1:14" x14ac:dyDescent="0.25">
      <c r="A50" s="43">
        <v>45716</v>
      </c>
      <c r="B50" s="40">
        <v>45689</v>
      </c>
      <c r="C50" s="41">
        <v>46135</v>
      </c>
      <c r="D50" s="42" t="s">
        <v>358</v>
      </c>
      <c r="E50" s="13" t="s">
        <v>359</v>
      </c>
      <c r="F50" s="16">
        <v>260356</v>
      </c>
      <c r="G50" s="16">
        <f>F50*0.09</f>
        <v>23432.04</v>
      </c>
      <c r="H50" s="16">
        <f t="shared" si="24"/>
        <v>23432.04</v>
      </c>
      <c r="I50" s="16">
        <v>0</v>
      </c>
      <c r="J50" s="16">
        <f t="shared" si="23"/>
        <v>307220.07999999996</v>
      </c>
      <c r="K50" s="16">
        <f t="shared" ref="K50:K60" si="25">F50*0.02</f>
        <v>5207.12</v>
      </c>
      <c r="L50" s="16">
        <v>0</v>
      </c>
      <c r="M50" s="16"/>
      <c r="N50" s="16">
        <v>302012.95999999996</v>
      </c>
    </row>
    <row r="51" spans="1:14" x14ac:dyDescent="0.25">
      <c r="A51" s="43">
        <v>46081</v>
      </c>
      <c r="B51" s="40">
        <v>46054</v>
      </c>
      <c r="C51" s="41">
        <v>46135</v>
      </c>
      <c r="D51" s="42" t="s">
        <v>360</v>
      </c>
      <c r="E51" s="13" t="s">
        <v>361</v>
      </c>
      <c r="F51" s="16">
        <v>40000</v>
      </c>
      <c r="G51" s="16">
        <f>F51*0.09</f>
        <v>3600</v>
      </c>
      <c r="H51" s="16">
        <f>F51*0.09</f>
        <v>3600</v>
      </c>
      <c r="I51" s="16">
        <v>0</v>
      </c>
      <c r="J51" s="16">
        <f>SUM(F51:I51)</f>
        <v>47200</v>
      </c>
      <c r="K51" s="16">
        <f t="shared" si="25"/>
        <v>800</v>
      </c>
      <c r="L51" s="16">
        <v>0</v>
      </c>
      <c r="M51" s="16"/>
      <c r="N51" s="16">
        <v>46400</v>
      </c>
    </row>
    <row r="52" spans="1:14" x14ac:dyDescent="0.25">
      <c r="A52" s="43">
        <v>46112</v>
      </c>
      <c r="B52" s="40">
        <v>46082</v>
      </c>
      <c r="C52" s="41">
        <f>A52+45</f>
        <v>46157</v>
      </c>
      <c r="D52" s="42" t="s">
        <v>360</v>
      </c>
      <c r="E52" s="13" t="s">
        <v>361</v>
      </c>
      <c r="F52" s="16">
        <v>2800</v>
      </c>
      <c r="G52" s="16">
        <f>F52*0.09</f>
        <v>252</v>
      </c>
      <c r="H52" s="16">
        <f>F52*0.09</f>
        <v>252</v>
      </c>
      <c r="I52" s="16">
        <v>0</v>
      </c>
      <c r="J52" s="16">
        <f>SUM(F52:I52)</f>
        <v>3304</v>
      </c>
      <c r="K52" s="16">
        <f>F52*0.02</f>
        <v>56</v>
      </c>
      <c r="L52" s="16">
        <v>0</v>
      </c>
      <c r="M52" s="16"/>
      <c r="N52" s="16">
        <v>3248</v>
      </c>
    </row>
    <row r="53" spans="1:14" x14ac:dyDescent="0.25">
      <c r="A53" s="43">
        <v>46112</v>
      </c>
      <c r="B53" s="40">
        <v>46082</v>
      </c>
      <c r="C53" s="41">
        <f>A53+45</f>
        <v>46157</v>
      </c>
      <c r="D53" s="42" t="s">
        <v>360</v>
      </c>
      <c r="E53" s="13" t="s">
        <v>361</v>
      </c>
      <c r="F53" s="16">
        <v>41833</v>
      </c>
      <c r="G53" s="16">
        <f t="shared" ref="G53:G61" si="26">F53*0.09</f>
        <v>3764.97</v>
      </c>
      <c r="H53" s="16">
        <f t="shared" si="24"/>
        <v>3764.97</v>
      </c>
      <c r="I53" s="16">
        <v>0</v>
      </c>
      <c r="J53" s="16">
        <f t="shared" si="23"/>
        <v>49362.94</v>
      </c>
      <c r="K53" s="16">
        <f t="shared" si="25"/>
        <v>836.66</v>
      </c>
      <c r="L53" s="16">
        <v>0</v>
      </c>
      <c r="M53" s="16"/>
      <c r="N53" s="16">
        <v>48526.28</v>
      </c>
    </row>
    <row r="54" spans="1:14" x14ac:dyDescent="0.25">
      <c r="A54" s="43">
        <v>45747</v>
      </c>
      <c r="B54" s="40">
        <v>45717</v>
      </c>
      <c r="C54" s="41">
        <v>46135</v>
      </c>
      <c r="D54" s="42" t="s">
        <v>358</v>
      </c>
      <c r="E54" s="13" t="s">
        <v>359</v>
      </c>
      <c r="F54" s="16">
        <v>263651</v>
      </c>
      <c r="G54" s="16">
        <f t="shared" si="26"/>
        <v>23728.59</v>
      </c>
      <c r="H54" s="16">
        <f t="shared" si="24"/>
        <v>23728.59</v>
      </c>
      <c r="I54" s="16">
        <v>0</v>
      </c>
      <c r="J54" s="16">
        <f t="shared" si="23"/>
        <v>311108.18000000005</v>
      </c>
      <c r="K54" s="16">
        <f t="shared" si="25"/>
        <v>5273.02</v>
      </c>
      <c r="L54" s="16">
        <v>0</v>
      </c>
      <c r="M54" s="16"/>
      <c r="N54" s="16">
        <v>305835.16000000003</v>
      </c>
    </row>
    <row r="55" spans="1:14" x14ac:dyDescent="0.25">
      <c r="A55" s="43">
        <v>45991</v>
      </c>
      <c r="B55" s="40">
        <v>45962</v>
      </c>
      <c r="C55" s="41">
        <v>46135</v>
      </c>
      <c r="D55" s="42" t="s">
        <v>358</v>
      </c>
      <c r="E55" s="13" t="s">
        <v>359</v>
      </c>
      <c r="F55" s="16">
        <v>260733</v>
      </c>
      <c r="G55" s="16">
        <f t="shared" si="26"/>
        <v>23465.969999999998</v>
      </c>
      <c r="H55" s="16">
        <f t="shared" si="24"/>
        <v>23465.969999999998</v>
      </c>
      <c r="I55" s="16">
        <v>0</v>
      </c>
      <c r="J55" s="16">
        <f t="shared" si="23"/>
        <v>307664.93999999994</v>
      </c>
      <c r="K55" s="16">
        <f t="shared" si="25"/>
        <v>5214.66</v>
      </c>
      <c r="L55" s="16">
        <v>0</v>
      </c>
      <c r="M55" s="16"/>
      <c r="N55" s="16">
        <v>302450.27999999997</v>
      </c>
    </row>
    <row r="56" spans="1:14" x14ac:dyDescent="0.25">
      <c r="A56" s="43">
        <v>46022</v>
      </c>
      <c r="B56" s="40">
        <v>45992</v>
      </c>
      <c r="C56" s="41">
        <v>46135</v>
      </c>
      <c r="D56" s="42" t="s">
        <v>358</v>
      </c>
      <c r="E56" s="13" t="s">
        <v>359</v>
      </c>
      <c r="F56" s="16">
        <v>243080</v>
      </c>
      <c r="G56" s="16">
        <f t="shared" si="26"/>
        <v>21877.200000000001</v>
      </c>
      <c r="H56" s="16">
        <f t="shared" si="24"/>
        <v>21877.200000000001</v>
      </c>
      <c r="I56" s="16">
        <v>0</v>
      </c>
      <c r="J56" s="16">
        <f t="shared" si="23"/>
        <v>286834.40000000002</v>
      </c>
      <c r="K56" s="16">
        <f t="shared" si="25"/>
        <v>4861.6000000000004</v>
      </c>
      <c r="L56" s="16">
        <v>0</v>
      </c>
      <c r="M56" s="16"/>
      <c r="N56" s="16">
        <v>281972.80000000005</v>
      </c>
    </row>
    <row r="57" spans="1:14" x14ac:dyDescent="0.25">
      <c r="A57" s="43">
        <v>46053</v>
      </c>
      <c r="B57" s="40">
        <v>46023</v>
      </c>
      <c r="C57" s="41">
        <v>46137</v>
      </c>
      <c r="D57" s="42" t="s">
        <v>358</v>
      </c>
      <c r="E57" s="13" t="s">
        <v>359</v>
      </c>
      <c r="F57" s="16">
        <v>222612</v>
      </c>
      <c r="G57" s="16">
        <f t="shared" si="26"/>
        <v>20035.079999999998</v>
      </c>
      <c r="H57" s="16">
        <f t="shared" si="24"/>
        <v>20035.079999999998</v>
      </c>
      <c r="I57" s="16">
        <v>0</v>
      </c>
      <c r="J57" s="16">
        <f t="shared" si="23"/>
        <v>262682.15999999997</v>
      </c>
      <c r="K57" s="16">
        <f t="shared" si="25"/>
        <v>4452.24</v>
      </c>
      <c r="L57" s="16">
        <v>0</v>
      </c>
      <c r="M57" s="16"/>
      <c r="N57" s="16">
        <v>258229.91999999998</v>
      </c>
    </row>
    <row r="58" spans="1:14" x14ac:dyDescent="0.25">
      <c r="A58" s="43">
        <v>46081</v>
      </c>
      <c r="B58" s="40">
        <v>46054</v>
      </c>
      <c r="C58" s="41">
        <f>A58+85</f>
        <v>46166</v>
      </c>
      <c r="D58" s="42" t="s">
        <v>358</v>
      </c>
      <c r="E58" s="13" t="s">
        <v>359</v>
      </c>
      <c r="F58" s="16">
        <v>210000</v>
      </c>
      <c r="G58" s="16">
        <f>F58*0.09</f>
        <v>18900</v>
      </c>
      <c r="H58" s="16">
        <f>F58*0.09</f>
        <v>18900</v>
      </c>
      <c r="I58" s="16">
        <v>0</v>
      </c>
      <c r="J58" s="16">
        <f>SUM(F58:I58)</f>
        <v>247800</v>
      </c>
      <c r="K58" s="16">
        <f>F58*0.02</f>
        <v>4200</v>
      </c>
      <c r="L58" s="16">
        <v>0</v>
      </c>
      <c r="M58" s="16"/>
      <c r="N58" s="16">
        <v>243600</v>
      </c>
    </row>
    <row r="59" spans="1:14" x14ac:dyDescent="0.25">
      <c r="A59" s="43">
        <v>46112</v>
      </c>
      <c r="B59" s="40">
        <v>46082</v>
      </c>
      <c r="C59" s="41">
        <f>A59+85</f>
        <v>46197</v>
      </c>
      <c r="D59" s="42" t="s">
        <v>358</v>
      </c>
      <c r="E59" s="13" t="s">
        <v>359</v>
      </c>
      <c r="F59" s="16">
        <v>196122</v>
      </c>
      <c r="G59" s="16">
        <f>F59*0.09</f>
        <v>17650.98</v>
      </c>
      <c r="H59" s="16">
        <f>F59*0.09</f>
        <v>17650.98</v>
      </c>
      <c r="I59" s="16">
        <v>0</v>
      </c>
      <c r="J59" s="16">
        <f>SUM(F59:I59)</f>
        <v>231423.96000000002</v>
      </c>
      <c r="K59" s="16">
        <f>F59*0.02</f>
        <v>3922.44</v>
      </c>
      <c r="L59" s="16">
        <v>0</v>
      </c>
      <c r="M59" s="16"/>
      <c r="N59" s="16">
        <v>227501.52000000002</v>
      </c>
    </row>
    <row r="60" spans="1:14" x14ac:dyDescent="0.25">
      <c r="A60" s="43">
        <v>46112</v>
      </c>
      <c r="B60" s="40">
        <v>46082</v>
      </c>
      <c r="C60" s="41">
        <f>A60+85</f>
        <v>46197</v>
      </c>
      <c r="D60" s="42" t="s">
        <v>358</v>
      </c>
      <c r="E60" s="13" t="s">
        <v>359</v>
      </c>
      <c r="F60" s="16">
        <v>11200</v>
      </c>
      <c r="G60" s="16">
        <f t="shared" si="26"/>
        <v>1008</v>
      </c>
      <c r="H60" s="16">
        <f t="shared" si="24"/>
        <v>1008</v>
      </c>
      <c r="I60" s="16">
        <v>0</v>
      </c>
      <c r="J60" s="16">
        <f t="shared" si="23"/>
        <v>13216</v>
      </c>
      <c r="K60" s="16">
        <f t="shared" si="25"/>
        <v>224</v>
      </c>
      <c r="L60" s="16">
        <v>0</v>
      </c>
      <c r="M60" s="16"/>
      <c r="N60" s="16">
        <v>12992</v>
      </c>
    </row>
    <row r="61" spans="1:14" x14ac:dyDescent="0.25">
      <c r="A61" s="43">
        <v>46127</v>
      </c>
      <c r="B61" s="40">
        <v>46082</v>
      </c>
      <c r="C61" s="41">
        <f>A61+25</f>
        <v>46152</v>
      </c>
      <c r="D61" s="42" t="s">
        <v>362</v>
      </c>
      <c r="E61" s="13" t="s">
        <v>363</v>
      </c>
      <c r="F61" s="16">
        <v>40381</v>
      </c>
      <c r="G61" s="16">
        <f t="shared" si="26"/>
        <v>3634.29</v>
      </c>
      <c r="H61" s="16">
        <f>F61*0.09</f>
        <v>3634.29</v>
      </c>
      <c r="I61" s="16">
        <v>0</v>
      </c>
      <c r="J61" s="16">
        <f t="shared" si="23"/>
        <v>47649.58</v>
      </c>
      <c r="K61" s="16">
        <v>0</v>
      </c>
      <c r="L61" s="16">
        <f>F61*0.01</f>
        <v>403.81</v>
      </c>
      <c r="M61" s="16"/>
      <c r="N61" s="16">
        <v>47245.770000000004</v>
      </c>
    </row>
    <row r="62" spans="1:14" x14ac:dyDescent="0.25">
      <c r="A62" s="43">
        <v>46084</v>
      </c>
      <c r="B62" s="40">
        <v>46054</v>
      </c>
      <c r="C62" s="41">
        <v>46137</v>
      </c>
      <c r="D62" s="42" t="s">
        <v>364</v>
      </c>
      <c r="E62" s="13" t="s">
        <v>365</v>
      </c>
      <c r="F62" s="16">
        <v>202340</v>
      </c>
      <c r="G62" s="16">
        <v>0</v>
      </c>
      <c r="H62" s="16">
        <v>0</v>
      </c>
      <c r="I62" s="16">
        <f>F62*0.18</f>
        <v>36421.199999999997</v>
      </c>
      <c r="J62" s="16">
        <f t="shared" si="23"/>
        <v>238761.2</v>
      </c>
      <c r="K62" s="16">
        <f>F62*0.02</f>
        <v>4046.8</v>
      </c>
      <c r="L62" s="16">
        <v>0</v>
      </c>
      <c r="M62" s="16"/>
      <c r="N62" s="16">
        <v>234714.40000000002</v>
      </c>
    </row>
    <row r="63" spans="1:14" x14ac:dyDescent="0.25">
      <c r="A63" s="43">
        <v>46142</v>
      </c>
      <c r="B63" s="40">
        <v>46082</v>
      </c>
      <c r="C63" s="41">
        <v>46167</v>
      </c>
      <c r="D63" s="42" t="s">
        <v>364</v>
      </c>
      <c r="E63" s="13" t="s">
        <v>365</v>
      </c>
      <c r="F63" s="16">
        <v>193468</v>
      </c>
      <c r="G63" s="16">
        <v>0</v>
      </c>
      <c r="H63" s="16">
        <v>0</v>
      </c>
      <c r="I63" s="16">
        <f>F63*0.18</f>
        <v>34824.239999999998</v>
      </c>
      <c r="J63" s="16">
        <f t="shared" si="23"/>
        <v>228292.24</v>
      </c>
      <c r="K63" s="16">
        <f>F63*0.02</f>
        <v>3869.36</v>
      </c>
      <c r="L63" s="16">
        <v>0</v>
      </c>
      <c r="M63" s="16"/>
      <c r="N63" s="16">
        <v>224422.88</v>
      </c>
    </row>
    <row r="64" spans="1:14" x14ac:dyDescent="0.25">
      <c r="A64" s="43">
        <v>45657</v>
      </c>
      <c r="B64" s="40">
        <v>45627</v>
      </c>
      <c r="C64" s="41">
        <v>46135</v>
      </c>
      <c r="D64" s="42" t="s">
        <v>366</v>
      </c>
      <c r="E64" s="13" t="s">
        <v>367</v>
      </c>
      <c r="F64" s="16">
        <v>19000</v>
      </c>
      <c r="G64" s="16"/>
      <c r="H64" s="16"/>
      <c r="I64" s="16">
        <v>0</v>
      </c>
      <c r="J64" s="16">
        <f t="shared" si="23"/>
        <v>19000</v>
      </c>
      <c r="K64" s="16">
        <f>F64*0.01</f>
        <v>190</v>
      </c>
      <c r="L64" s="16">
        <v>0</v>
      </c>
      <c r="M64" s="16"/>
      <c r="N64" s="16">
        <v>18810</v>
      </c>
    </row>
    <row r="65" spans="1:14" x14ac:dyDescent="0.25">
      <c r="A65" s="43">
        <v>45657</v>
      </c>
      <c r="B65" s="40">
        <v>45627</v>
      </c>
      <c r="C65" s="41">
        <v>46135</v>
      </c>
      <c r="D65" s="42" t="s">
        <v>368</v>
      </c>
      <c r="E65" s="13" t="s">
        <v>85</v>
      </c>
      <c r="F65" s="16">
        <v>45774</v>
      </c>
      <c r="G65" s="16">
        <f>F65*0.09</f>
        <v>4119.66</v>
      </c>
      <c r="H65" s="16">
        <f>F65*0.09</f>
        <v>4119.66</v>
      </c>
      <c r="I65" s="16">
        <v>0</v>
      </c>
      <c r="J65" s="16">
        <f t="shared" si="23"/>
        <v>54013.320000000007</v>
      </c>
      <c r="K65" s="16">
        <f>F65*0.01</f>
        <v>457.74</v>
      </c>
      <c r="L65" s="16">
        <v>0</v>
      </c>
      <c r="M65" s="16"/>
      <c r="N65" s="16">
        <v>53555.580000000009</v>
      </c>
    </row>
    <row r="66" spans="1:14" x14ac:dyDescent="0.25">
      <c r="A66" s="43">
        <v>46086</v>
      </c>
      <c r="B66" s="40">
        <v>46054</v>
      </c>
      <c r="C66" s="41">
        <v>46135</v>
      </c>
      <c r="D66" s="42" t="s">
        <v>369</v>
      </c>
      <c r="E66" s="13" t="s">
        <v>370</v>
      </c>
      <c r="F66" s="16">
        <f>61984+21399</f>
        <v>83383</v>
      </c>
      <c r="G66" s="16">
        <f>F66*0.09</f>
        <v>7504.4699999999993</v>
      </c>
      <c r="H66" s="16">
        <f>F66*0.09</f>
        <v>7504.4699999999993</v>
      </c>
      <c r="I66" s="16">
        <v>0</v>
      </c>
      <c r="J66" s="16">
        <f t="shared" si="23"/>
        <v>98391.94</v>
      </c>
      <c r="K66" s="16">
        <f>F66*0.02</f>
        <v>1667.66</v>
      </c>
      <c r="L66" s="16">
        <v>0</v>
      </c>
      <c r="M66" s="16"/>
      <c r="N66" s="16">
        <v>96724.28</v>
      </c>
    </row>
    <row r="67" spans="1:14" x14ac:dyDescent="0.25">
      <c r="A67" s="43">
        <v>46082</v>
      </c>
      <c r="B67" s="40">
        <v>46082</v>
      </c>
      <c r="C67" s="41">
        <v>46135</v>
      </c>
      <c r="D67" s="42" t="s">
        <v>371</v>
      </c>
      <c r="E67" s="13" t="s">
        <v>372</v>
      </c>
      <c r="F67" s="16">
        <v>9880</v>
      </c>
      <c r="G67" s="16"/>
      <c r="H67" s="16"/>
      <c r="I67" s="16"/>
      <c r="J67" s="16">
        <f>F67</f>
        <v>9880</v>
      </c>
      <c r="K67" s="16"/>
      <c r="L67" s="16"/>
      <c r="M67" s="16"/>
      <c r="N67" s="16">
        <v>9880</v>
      </c>
    </row>
    <row r="68" spans="1:14" x14ac:dyDescent="0.25">
      <c r="A68" s="43">
        <v>46094</v>
      </c>
      <c r="B68" s="40">
        <v>46082</v>
      </c>
      <c r="C68" s="41">
        <f>B68+55</f>
        <v>46137</v>
      </c>
      <c r="D68" s="42" t="s">
        <v>373</v>
      </c>
      <c r="E68" s="13" t="s">
        <v>374</v>
      </c>
      <c r="F68" s="16">
        <f>10245+595</f>
        <v>10840</v>
      </c>
      <c r="G68" s="16">
        <f>822+62+15</f>
        <v>899</v>
      </c>
      <c r="H68" s="16">
        <f>822+62+15</f>
        <v>899</v>
      </c>
      <c r="I68" s="16"/>
      <c r="J68" s="16">
        <f t="shared" ref="J68:J77" si="27">SUM(F68:I68)</f>
        <v>12638</v>
      </c>
      <c r="K68" s="16"/>
      <c r="L68" s="16"/>
      <c r="M68" s="16"/>
      <c r="N68" s="16">
        <v>12638</v>
      </c>
    </row>
    <row r="69" spans="1:14" x14ac:dyDescent="0.25">
      <c r="A69" s="43">
        <v>46123</v>
      </c>
      <c r="B69" s="40">
        <v>46082</v>
      </c>
      <c r="C69" s="41">
        <f>A69+55</f>
        <v>46178</v>
      </c>
      <c r="D69" s="42" t="s">
        <v>375</v>
      </c>
      <c r="E69" s="13" t="s">
        <v>376</v>
      </c>
      <c r="F69" s="16">
        <v>19668</v>
      </c>
      <c r="G69" s="16">
        <v>0</v>
      </c>
      <c r="H69" s="16">
        <v>0</v>
      </c>
      <c r="I69" s="16">
        <v>0</v>
      </c>
      <c r="J69" s="16">
        <f t="shared" si="27"/>
        <v>19668</v>
      </c>
      <c r="K69" s="16"/>
      <c r="L69" s="16"/>
      <c r="M69" s="16"/>
      <c r="N69" s="16">
        <v>19668</v>
      </c>
    </row>
    <row r="70" spans="1:14" x14ac:dyDescent="0.25">
      <c r="A70" s="43">
        <v>46112</v>
      </c>
      <c r="B70" s="40">
        <v>46082</v>
      </c>
      <c r="C70" s="41">
        <v>46135</v>
      </c>
      <c r="D70" s="42" t="s">
        <v>377</v>
      </c>
      <c r="E70" s="13" t="s">
        <v>378</v>
      </c>
      <c r="F70" s="16">
        <v>2444</v>
      </c>
      <c r="G70" s="16">
        <v>0</v>
      </c>
      <c r="H70" s="16">
        <v>0</v>
      </c>
      <c r="I70" s="16">
        <v>0</v>
      </c>
      <c r="J70" s="16">
        <f t="shared" si="27"/>
        <v>2444</v>
      </c>
      <c r="K70" s="16">
        <v>0</v>
      </c>
      <c r="L70" s="16">
        <v>0</v>
      </c>
      <c r="M70" s="16"/>
      <c r="N70" s="16">
        <v>2444</v>
      </c>
    </row>
    <row r="71" spans="1:14" x14ac:dyDescent="0.25">
      <c r="A71" s="43">
        <v>46082</v>
      </c>
      <c r="B71" s="40">
        <v>46054</v>
      </c>
      <c r="C71" s="41">
        <f>A71+55</f>
        <v>46137</v>
      </c>
      <c r="D71" s="42" t="s">
        <v>379</v>
      </c>
      <c r="E71" s="13" t="s">
        <v>380</v>
      </c>
      <c r="F71" s="16">
        <v>831601</v>
      </c>
      <c r="G71" s="16">
        <v>0</v>
      </c>
      <c r="H71" s="16">
        <v>0</v>
      </c>
      <c r="I71" s="16">
        <f>F71*18%</f>
        <v>149688.18</v>
      </c>
      <c r="J71" s="16">
        <f t="shared" si="27"/>
        <v>981289.17999999993</v>
      </c>
      <c r="K71" s="16"/>
      <c r="L71" s="16">
        <f>F71*10%</f>
        <v>83160.100000000006</v>
      </c>
      <c r="M71" s="16"/>
      <c r="N71" s="16">
        <v>898129.08</v>
      </c>
    </row>
    <row r="72" spans="1:14" x14ac:dyDescent="0.25">
      <c r="A72" s="43">
        <v>46112</v>
      </c>
      <c r="B72" s="40">
        <v>46082</v>
      </c>
      <c r="C72" s="41">
        <f>A72+55</f>
        <v>46167</v>
      </c>
      <c r="D72" s="42" t="s">
        <v>379</v>
      </c>
      <c r="E72" s="13" t="s">
        <v>380</v>
      </c>
      <c r="F72" s="16">
        <v>200000</v>
      </c>
      <c r="G72" s="16">
        <v>0</v>
      </c>
      <c r="H72" s="16">
        <v>0</v>
      </c>
      <c r="I72" s="16">
        <f>F72*18%</f>
        <v>36000</v>
      </c>
      <c r="J72" s="16">
        <f t="shared" si="27"/>
        <v>236000</v>
      </c>
      <c r="K72" s="16"/>
      <c r="L72" s="16">
        <f>F72*10%</f>
        <v>20000</v>
      </c>
      <c r="M72" s="16"/>
      <c r="N72" s="16">
        <v>216000</v>
      </c>
    </row>
    <row r="73" spans="1:14" x14ac:dyDescent="0.25">
      <c r="A73" s="43">
        <v>45593</v>
      </c>
      <c r="B73" s="40">
        <v>45566</v>
      </c>
      <c r="C73" s="41">
        <v>46137</v>
      </c>
      <c r="D73" s="42" t="s">
        <v>381</v>
      </c>
      <c r="E73" s="13" t="s">
        <v>382</v>
      </c>
      <c r="F73" s="16">
        <v>8000</v>
      </c>
      <c r="G73" s="16">
        <v>0</v>
      </c>
      <c r="H73" s="16">
        <v>0</v>
      </c>
      <c r="I73" s="16">
        <f>F73*18%</f>
        <v>1440</v>
      </c>
      <c r="J73" s="16">
        <f t="shared" si="27"/>
        <v>9440</v>
      </c>
      <c r="K73" s="16"/>
      <c r="L73" s="16">
        <v>0</v>
      </c>
      <c r="M73" s="16"/>
      <c r="N73" s="16">
        <v>9440</v>
      </c>
    </row>
    <row r="74" spans="1:14" x14ac:dyDescent="0.25">
      <c r="A74" s="43">
        <v>46081</v>
      </c>
      <c r="B74" s="40">
        <v>46054</v>
      </c>
      <c r="C74" s="41">
        <f>A74+55</f>
        <v>46136</v>
      </c>
      <c r="D74" s="42" t="s">
        <v>383</v>
      </c>
      <c r="E74" s="13" t="s">
        <v>359</v>
      </c>
      <c r="F74" s="16">
        <v>235276</v>
      </c>
      <c r="G74" s="16">
        <f t="shared" ref="G74:G84" si="28">F74*0.09</f>
        <v>21174.84</v>
      </c>
      <c r="H74" s="16">
        <f t="shared" ref="H74:H84" si="29">F74*0.09</f>
        <v>21174.84</v>
      </c>
      <c r="I74" s="16">
        <v>0</v>
      </c>
      <c r="J74" s="16">
        <f t="shared" si="27"/>
        <v>277625.68</v>
      </c>
      <c r="K74" s="16">
        <f>F74*2%</f>
        <v>4705.5200000000004</v>
      </c>
      <c r="L74" s="16">
        <v>0</v>
      </c>
      <c r="M74" s="16"/>
      <c r="N74" s="16">
        <v>272920.15999999997</v>
      </c>
    </row>
    <row r="75" spans="1:14" x14ac:dyDescent="0.25">
      <c r="A75" s="43">
        <v>46109</v>
      </c>
      <c r="B75" s="40">
        <v>46082</v>
      </c>
      <c r="C75" s="41">
        <f>A75+30</f>
        <v>46139</v>
      </c>
      <c r="D75" s="42" t="s">
        <v>383</v>
      </c>
      <c r="E75" s="13" t="s">
        <v>359</v>
      </c>
      <c r="F75" s="16">
        <v>291549</v>
      </c>
      <c r="G75" s="16">
        <f t="shared" si="28"/>
        <v>26239.41</v>
      </c>
      <c r="H75" s="16">
        <f t="shared" si="29"/>
        <v>26239.41</v>
      </c>
      <c r="I75" s="16">
        <v>0</v>
      </c>
      <c r="J75" s="16">
        <f t="shared" si="27"/>
        <v>344027.81999999995</v>
      </c>
      <c r="K75" s="16">
        <f>F75*2%</f>
        <v>5830.9800000000005</v>
      </c>
      <c r="L75" s="16">
        <v>0</v>
      </c>
      <c r="M75" s="16"/>
      <c r="N75" s="16">
        <v>338196.83999999997</v>
      </c>
    </row>
    <row r="76" spans="1:14" x14ac:dyDescent="0.25">
      <c r="A76" s="43">
        <v>46081</v>
      </c>
      <c r="B76" s="40">
        <v>46054</v>
      </c>
      <c r="C76" s="41">
        <v>46135</v>
      </c>
      <c r="D76" s="42" t="s">
        <v>384</v>
      </c>
      <c r="E76" s="13" t="s">
        <v>361</v>
      </c>
      <c r="F76" s="16">
        <v>29417</v>
      </c>
      <c r="G76" s="16">
        <f t="shared" si="28"/>
        <v>2647.5299999999997</v>
      </c>
      <c r="H76" s="16">
        <f t="shared" si="29"/>
        <v>2647.5299999999997</v>
      </c>
      <c r="I76" s="16">
        <v>0</v>
      </c>
      <c r="J76" s="16">
        <f t="shared" si="27"/>
        <v>34712.06</v>
      </c>
      <c r="K76" s="16">
        <f>F76*2%</f>
        <v>588.34</v>
      </c>
      <c r="L76" s="16">
        <v>0</v>
      </c>
      <c r="M76" s="16"/>
      <c r="N76" s="16">
        <v>34123.72</v>
      </c>
    </row>
    <row r="77" spans="1:14" x14ac:dyDescent="0.25">
      <c r="A77" s="43">
        <v>46109</v>
      </c>
      <c r="B77" s="40">
        <v>46082</v>
      </c>
      <c r="C77" s="41">
        <f>A77+55</f>
        <v>46164</v>
      </c>
      <c r="D77" s="42" t="s">
        <v>384</v>
      </c>
      <c r="E77" s="13" t="s">
        <v>361</v>
      </c>
      <c r="F77" s="16">
        <v>29651</v>
      </c>
      <c r="G77" s="16">
        <f t="shared" si="28"/>
        <v>2668.5899999999997</v>
      </c>
      <c r="H77" s="16">
        <f t="shared" si="29"/>
        <v>2668.5899999999997</v>
      </c>
      <c r="I77" s="16">
        <v>0</v>
      </c>
      <c r="J77" s="16">
        <f t="shared" si="27"/>
        <v>34988.18</v>
      </c>
      <c r="K77" s="16">
        <f>F77*2%</f>
        <v>593.02</v>
      </c>
      <c r="L77" s="16">
        <v>0</v>
      </c>
      <c r="M77" s="16"/>
      <c r="N77" s="16">
        <v>34395.160000000003</v>
      </c>
    </row>
    <row r="78" spans="1:14" x14ac:dyDescent="0.25">
      <c r="A78" s="43"/>
      <c r="B78" s="40">
        <v>46023</v>
      </c>
      <c r="C78" s="41">
        <v>46135</v>
      </c>
      <c r="D78" s="42" t="s">
        <v>385</v>
      </c>
      <c r="E78" s="13" t="s">
        <v>386</v>
      </c>
      <c r="F78" s="16">
        <v>3500</v>
      </c>
      <c r="G78" s="16">
        <f t="shared" si="28"/>
        <v>315</v>
      </c>
      <c r="H78" s="16">
        <f t="shared" si="29"/>
        <v>315</v>
      </c>
      <c r="I78" s="16">
        <v>0</v>
      </c>
      <c r="J78" s="16">
        <f>SUM(F78:I78)</f>
        <v>4130</v>
      </c>
      <c r="K78" s="16">
        <v>0</v>
      </c>
      <c r="L78" s="16">
        <v>0</v>
      </c>
      <c r="M78" s="16"/>
      <c r="N78" s="16">
        <v>4130</v>
      </c>
    </row>
    <row r="79" spans="1:14" x14ac:dyDescent="0.25">
      <c r="A79" s="43"/>
      <c r="B79" s="40">
        <v>46054</v>
      </c>
      <c r="C79" s="41">
        <v>46135</v>
      </c>
      <c r="D79" s="42" t="s">
        <v>385</v>
      </c>
      <c r="E79" s="13" t="s">
        <v>386</v>
      </c>
      <c r="F79" s="16">
        <v>3500</v>
      </c>
      <c r="G79" s="16">
        <f t="shared" si="28"/>
        <v>315</v>
      </c>
      <c r="H79" s="16">
        <f t="shared" si="29"/>
        <v>315</v>
      </c>
      <c r="I79" s="16">
        <v>0</v>
      </c>
      <c r="J79" s="16">
        <f>SUM(F79:I79)</f>
        <v>4130</v>
      </c>
      <c r="K79" s="16">
        <v>0</v>
      </c>
      <c r="L79" s="16">
        <v>0</v>
      </c>
      <c r="M79" s="16"/>
      <c r="N79" s="16">
        <v>4130</v>
      </c>
    </row>
    <row r="80" spans="1:14" x14ac:dyDescent="0.25">
      <c r="A80" s="43"/>
      <c r="B80" s="40">
        <v>46082</v>
      </c>
      <c r="C80" s="41">
        <v>46135</v>
      </c>
      <c r="D80" s="42" t="s">
        <v>385</v>
      </c>
      <c r="E80" s="13" t="s">
        <v>386</v>
      </c>
      <c r="F80" s="16">
        <v>3500</v>
      </c>
      <c r="G80" s="16">
        <f t="shared" si="28"/>
        <v>315</v>
      </c>
      <c r="H80" s="16">
        <f t="shared" si="29"/>
        <v>315</v>
      </c>
      <c r="I80" s="16">
        <v>0</v>
      </c>
      <c r="J80" s="16">
        <f>SUM(F80:I80)</f>
        <v>4130</v>
      </c>
      <c r="K80" s="16">
        <v>0</v>
      </c>
      <c r="L80" s="16">
        <v>0</v>
      </c>
      <c r="M80" s="16"/>
      <c r="N80" s="16">
        <v>4130</v>
      </c>
    </row>
    <row r="81" spans="1:14" x14ac:dyDescent="0.25">
      <c r="A81" s="43">
        <v>46115</v>
      </c>
      <c r="B81" s="40">
        <v>46113</v>
      </c>
      <c r="C81" s="41">
        <f>A81+30</f>
        <v>46145</v>
      </c>
      <c r="D81" s="36" t="s">
        <v>387</v>
      </c>
      <c r="E81" s="13" t="s">
        <v>388</v>
      </c>
      <c r="F81" s="16">
        <v>32700</v>
      </c>
      <c r="G81" s="16">
        <f t="shared" si="28"/>
        <v>2943</v>
      </c>
      <c r="H81" s="16">
        <f t="shared" si="29"/>
        <v>2943</v>
      </c>
      <c r="I81" s="16">
        <v>0</v>
      </c>
      <c r="J81" s="16">
        <f t="shared" ref="J81:J90" si="30">SUM(F81:I81)</f>
        <v>38586</v>
      </c>
      <c r="K81" s="13">
        <v>0</v>
      </c>
      <c r="L81" s="45">
        <f t="shared" ref="L81:L82" si="31">F81*10%</f>
        <v>3270</v>
      </c>
      <c r="M81" s="16"/>
      <c r="N81" s="13">
        <v>35316</v>
      </c>
    </row>
    <row r="82" spans="1:14" x14ac:dyDescent="0.25">
      <c r="A82" s="43">
        <v>46145</v>
      </c>
      <c r="B82" s="40">
        <v>46143</v>
      </c>
      <c r="C82" s="41">
        <f>A82+30</f>
        <v>46175</v>
      </c>
      <c r="D82" s="36" t="s">
        <v>387</v>
      </c>
      <c r="E82" s="13" t="s">
        <v>388</v>
      </c>
      <c r="F82" s="16">
        <v>32700</v>
      </c>
      <c r="G82" s="16">
        <f t="shared" si="28"/>
        <v>2943</v>
      </c>
      <c r="H82" s="16">
        <f t="shared" si="29"/>
        <v>2943</v>
      </c>
      <c r="I82" s="16">
        <v>0</v>
      </c>
      <c r="J82" s="16">
        <f t="shared" si="30"/>
        <v>38586</v>
      </c>
      <c r="K82" s="13">
        <v>0</v>
      </c>
      <c r="L82" s="45">
        <f t="shared" si="31"/>
        <v>3270</v>
      </c>
      <c r="M82" s="16"/>
      <c r="N82" s="13">
        <v>35316</v>
      </c>
    </row>
    <row r="83" spans="1:14" x14ac:dyDescent="0.25">
      <c r="A83" s="43">
        <v>46115</v>
      </c>
      <c r="B83" s="40">
        <v>46113</v>
      </c>
      <c r="C83" s="41">
        <f>A83+30</f>
        <v>46145</v>
      </c>
      <c r="D83" s="36" t="s">
        <v>356</v>
      </c>
      <c r="E83" s="13" t="s">
        <v>357</v>
      </c>
      <c r="F83" s="16">
        <v>100000</v>
      </c>
      <c r="G83" s="16">
        <f t="shared" si="28"/>
        <v>9000</v>
      </c>
      <c r="H83" s="16">
        <f t="shared" si="29"/>
        <v>9000</v>
      </c>
      <c r="I83" s="16">
        <v>0</v>
      </c>
      <c r="J83" s="16">
        <f t="shared" si="30"/>
        <v>118000</v>
      </c>
      <c r="K83" s="16">
        <v>0</v>
      </c>
      <c r="L83" s="16">
        <f t="shared" ref="L83:L84" si="32">F83*0.1</f>
        <v>10000</v>
      </c>
      <c r="M83" s="16"/>
      <c r="N83" s="16">
        <v>108000</v>
      </c>
    </row>
    <row r="84" spans="1:14" x14ac:dyDescent="0.25">
      <c r="A84" s="43">
        <v>46145</v>
      </c>
      <c r="B84" s="40">
        <v>46143</v>
      </c>
      <c r="C84" s="41">
        <f>A84+30</f>
        <v>46175</v>
      </c>
      <c r="D84" s="36" t="s">
        <v>356</v>
      </c>
      <c r="E84" s="13" t="s">
        <v>357</v>
      </c>
      <c r="F84" s="16">
        <v>100000</v>
      </c>
      <c r="G84" s="16">
        <f t="shared" si="28"/>
        <v>9000</v>
      </c>
      <c r="H84" s="16">
        <f t="shared" si="29"/>
        <v>9000</v>
      </c>
      <c r="I84" s="16">
        <v>0</v>
      </c>
      <c r="J84" s="16">
        <f t="shared" si="30"/>
        <v>118000</v>
      </c>
      <c r="K84" s="16">
        <v>0</v>
      </c>
      <c r="L84" s="16">
        <f t="shared" si="32"/>
        <v>10000</v>
      </c>
      <c r="M84" s="16"/>
      <c r="N84" s="16">
        <v>108000</v>
      </c>
    </row>
    <row r="85" spans="1:14" x14ac:dyDescent="0.25">
      <c r="A85" s="43"/>
      <c r="B85" s="40"/>
      <c r="C85" s="41">
        <v>46149</v>
      </c>
      <c r="D85" s="42" t="s">
        <v>349</v>
      </c>
      <c r="F85" s="16">
        <v>700000</v>
      </c>
      <c r="G85" s="16"/>
      <c r="H85" s="16"/>
      <c r="I85" s="16"/>
      <c r="J85" s="16">
        <f t="shared" si="30"/>
        <v>700000</v>
      </c>
      <c r="K85" s="16"/>
      <c r="L85" s="16"/>
      <c r="M85" s="16"/>
      <c r="N85" s="16">
        <v>700000</v>
      </c>
    </row>
    <row r="86" spans="1:14" x14ac:dyDescent="0.25">
      <c r="A86" s="43"/>
      <c r="B86" s="40"/>
      <c r="C86" s="41">
        <v>46180</v>
      </c>
      <c r="D86" s="42" t="s">
        <v>349</v>
      </c>
      <c r="F86" s="16">
        <v>700000</v>
      </c>
      <c r="G86" s="16"/>
      <c r="H86" s="16"/>
      <c r="I86" s="16"/>
      <c r="J86" s="16">
        <f t="shared" si="30"/>
        <v>700000</v>
      </c>
      <c r="K86" s="16"/>
      <c r="L86" s="16"/>
      <c r="M86" s="16"/>
      <c r="N86" s="16">
        <v>700000</v>
      </c>
    </row>
    <row r="87" spans="1:14" x14ac:dyDescent="0.25">
      <c r="A87" s="43">
        <v>46114</v>
      </c>
      <c r="B87" s="40">
        <v>46114</v>
      </c>
      <c r="C87" s="41">
        <f>A87+30</f>
        <v>46144</v>
      </c>
      <c r="D87" s="42" t="s">
        <v>389</v>
      </c>
      <c r="E87" s="13" t="s">
        <v>390</v>
      </c>
      <c r="F87" s="16">
        <v>13127</v>
      </c>
      <c r="G87" s="16">
        <f t="shared" ref="G87:G88" si="33">F87*0.09</f>
        <v>1181.43</v>
      </c>
      <c r="H87" s="16">
        <f t="shared" ref="H87:H88" si="34">F87*0.09</f>
        <v>1181.43</v>
      </c>
      <c r="I87" s="16">
        <v>0</v>
      </c>
      <c r="J87" s="16">
        <f t="shared" si="30"/>
        <v>15489.86</v>
      </c>
      <c r="K87" s="16">
        <f t="shared" ref="K87:K88" si="35">F87*0.02</f>
        <v>262.54000000000002</v>
      </c>
      <c r="L87" s="16">
        <v>0</v>
      </c>
      <c r="M87" s="16"/>
      <c r="N87" s="16">
        <v>15227.32</v>
      </c>
    </row>
    <row r="88" spans="1:14" x14ac:dyDescent="0.25">
      <c r="A88" s="43">
        <v>46144</v>
      </c>
      <c r="B88" s="40">
        <v>46144</v>
      </c>
      <c r="C88" s="41">
        <f>A88+30</f>
        <v>46174</v>
      </c>
      <c r="D88" s="42" t="s">
        <v>389</v>
      </c>
      <c r="E88" s="13" t="s">
        <v>390</v>
      </c>
      <c r="F88" s="16">
        <v>13127</v>
      </c>
      <c r="G88" s="16">
        <f t="shared" si="33"/>
        <v>1181.43</v>
      </c>
      <c r="H88" s="16">
        <f t="shared" si="34"/>
        <v>1181.43</v>
      </c>
      <c r="I88" s="16">
        <v>0</v>
      </c>
      <c r="J88" s="16">
        <f t="shared" si="30"/>
        <v>15489.86</v>
      </c>
      <c r="K88" s="16">
        <f t="shared" si="35"/>
        <v>262.54000000000002</v>
      </c>
      <c r="L88" s="16">
        <v>0</v>
      </c>
      <c r="M88" s="16"/>
      <c r="N88" s="16">
        <v>15227.32</v>
      </c>
    </row>
    <row r="89" spans="1:14" x14ac:dyDescent="0.25">
      <c r="A89" s="43">
        <v>46114</v>
      </c>
      <c r="B89" s="40">
        <v>46114</v>
      </c>
      <c r="C89" s="41">
        <f>A89+30</f>
        <v>46144</v>
      </c>
      <c r="D89" s="42" t="s">
        <v>391</v>
      </c>
      <c r="E89" s="13" t="s">
        <v>392</v>
      </c>
      <c r="F89" s="16">
        <v>40000</v>
      </c>
      <c r="G89" s="16">
        <v>0</v>
      </c>
      <c r="H89" s="16">
        <v>0</v>
      </c>
      <c r="I89" s="16">
        <f t="shared" ref="I89:I90" si="36">F89*0.18</f>
        <v>7200</v>
      </c>
      <c r="J89" s="16">
        <f t="shared" si="30"/>
        <v>47200</v>
      </c>
      <c r="K89" s="16">
        <f t="shared" ref="K89:K90" si="37">F89*0.01</f>
        <v>400</v>
      </c>
      <c r="L89" s="16">
        <v>0</v>
      </c>
      <c r="M89" s="16"/>
      <c r="N89" s="16">
        <v>46800</v>
      </c>
    </row>
    <row r="90" spans="1:14" x14ac:dyDescent="0.25">
      <c r="A90" s="43">
        <v>46144</v>
      </c>
      <c r="B90" s="40">
        <v>46144</v>
      </c>
      <c r="C90" s="41">
        <f>A90+30</f>
        <v>46174</v>
      </c>
      <c r="D90" s="42" t="s">
        <v>391</v>
      </c>
      <c r="E90" s="13" t="s">
        <v>392</v>
      </c>
      <c r="F90" s="16">
        <v>40000</v>
      </c>
      <c r="G90" s="16">
        <v>0</v>
      </c>
      <c r="H90" s="16">
        <v>0</v>
      </c>
      <c r="I90" s="16">
        <f t="shared" si="36"/>
        <v>7200</v>
      </c>
      <c r="J90" s="16">
        <f t="shared" si="30"/>
        <v>47200</v>
      </c>
      <c r="K90" s="16">
        <f t="shared" si="37"/>
        <v>400</v>
      </c>
      <c r="L90" s="16">
        <v>0</v>
      </c>
      <c r="M90" s="16"/>
      <c r="N90" s="16">
        <v>46800</v>
      </c>
    </row>
    <row r="91" spans="1:14" x14ac:dyDescent="0.25">
      <c r="A91" s="43">
        <v>46142</v>
      </c>
      <c r="B91" s="40">
        <v>46114</v>
      </c>
      <c r="C91" s="41">
        <f>A91+55</f>
        <v>46197</v>
      </c>
      <c r="D91" s="42" t="s">
        <v>360</v>
      </c>
      <c r="E91" s="13" t="s">
        <v>361</v>
      </c>
      <c r="F91" s="16">
        <v>42750</v>
      </c>
      <c r="G91" s="16">
        <f t="shared" ref="G91:G94" si="38">F91*0.09</f>
        <v>3847.5</v>
      </c>
      <c r="H91" s="16">
        <f t="shared" ref="H91:H94" si="39">F91*0.09</f>
        <v>3847.5</v>
      </c>
      <c r="I91" s="16">
        <v>0</v>
      </c>
      <c r="J91" s="16">
        <f t="shared" ref="J91:J103" si="40">SUM(F91:I91)</f>
        <v>50445</v>
      </c>
      <c r="K91" s="16">
        <f t="shared" ref="K91:K94" si="41">F91*0.02</f>
        <v>855</v>
      </c>
      <c r="L91" s="16">
        <v>0</v>
      </c>
      <c r="M91" s="16"/>
      <c r="N91" s="16">
        <v>49590</v>
      </c>
    </row>
    <row r="92" spans="1:14" x14ac:dyDescent="0.25">
      <c r="A92" s="43">
        <v>46081</v>
      </c>
      <c r="B92" s="40">
        <v>46081</v>
      </c>
      <c r="C92" s="41">
        <v>46135</v>
      </c>
      <c r="D92" s="42" t="s">
        <v>393</v>
      </c>
      <c r="E92" s="13" t="s">
        <v>394</v>
      </c>
      <c r="F92" s="16">
        <v>13571</v>
      </c>
      <c r="G92" s="16">
        <f t="shared" si="38"/>
        <v>1221.3899999999999</v>
      </c>
      <c r="H92" s="16">
        <f t="shared" si="39"/>
        <v>1221.3899999999999</v>
      </c>
      <c r="I92" s="16">
        <v>0</v>
      </c>
      <c r="J92" s="16">
        <f t="shared" si="40"/>
        <v>16013.779999999999</v>
      </c>
      <c r="K92" s="16">
        <f t="shared" si="41"/>
        <v>271.42</v>
      </c>
      <c r="L92" s="16">
        <v>0</v>
      </c>
      <c r="M92" s="16"/>
      <c r="N92" s="16">
        <v>15742.359999999999</v>
      </c>
    </row>
    <row r="93" spans="1:14" x14ac:dyDescent="0.25">
      <c r="A93" s="43">
        <v>46112</v>
      </c>
      <c r="B93" s="40">
        <v>46112</v>
      </c>
      <c r="C93" s="41">
        <f>A93+30</f>
        <v>46142</v>
      </c>
      <c r="D93" s="42" t="s">
        <v>393</v>
      </c>
      <c r="E93" s="13" t="s">
        <v>394</v>
      </c>
      <c r="F93" s="16">
        <v>14468</v>
      </c>
      <c r="G93" s="16">
        <f t="shared" si="38"/>
        <v>1302.1199999999999</v>
      </c>
      <c r="H93" s="16">
        <f t="shared" si="39"/>
        <v>1302.1199999999999</v>
      </c>
      <c r="I93" s="16">
        <v>0</v>
      </c>
      <c r="J93" s="16">
        <f t="shared" si="40"/>
        <v>17072.239999999998</v>
      </c>
      <c r="K93" s="16">
        <f t="shared" si="41"/>
        <v>289.36</v>
      </c>
      <c r="L93" s="16">
        <v>0</v>
      </c>
      <c r="M93" s="16"/>
      <c r="N93" s="16">
        <v>16782.879999999997</v>
      </c>
    </row>
    <row r="94" spans="1:14" x14ac:dyDescent="0.25">
      <c r="A94" s="43">
        <v>46142</v>
      </c>
      <c r="B94" s="40">
        <v>46114</v>
      </c>
      <c r="C94" s="41">
        <f>A94+55</f>
        <v>46197</v>
      </c>
      <c r="D94" s="42" t="s">
        <v>393</v>
      </c>
      <c r="E94" s="13" t="s">
        <v>394</v>
      </c>
      <c r="F94" s="16">
        <v>16750</v>
      </c>
      <c r="G94" s="16">
        <f t="shared" si="38"/>
        <v>1507.5</v>
      </c>
      <c r="H94" s="16">
        <f t="shared" si="39"/>
        <v>1507.5</v>
      </c>
      <c r="I94" s="16">
        <v>0</v>
      </c>
      <c r="J94" s="16">
        <f t="shared" si="40"/>
        <v>19765</v>
      </c>
      <c r="K94" s="16">
        <f t="shared" si="41"/>
        <v>335</v>
      </c>
      <c r="L94" s="16">
        <v>0</v>
      </c>
      <c r="M94" s="16"/>
      <c r="N94" s="16">
        <v>19430</v>
      </c>
    </row>
    <row r="95" spans="1:14" x14ac:dyDescent="0.25">
      <c r="A95" s="43">
        <v>46082</v>
      </c>
      <c r="B95" s="40">
        <v>46023</v>
      </c>
      <c r="C95" s="41">
        <v>46135</v>
      </c>
      <c r="D95" s="42" t="s">
        <v>395</v>
      </c>
      <c r="E95" s="13" t="s">
        <v>380</v>
      </c>
      <c r="F95" s="16">
        <v>731</v>
      </c>
      <c r="G95" s="16"/>
      <c r="H95" s="16"/>
      <c r="I95" s="16">
        <f>F95*18%</f>
        <v>131.57999999999998</v>
      </c>
      <c r="J95" s="16">
        <f>SUM(F95:I95)</f>
        <v>862.57999999999993</v>
      </c>
      <c r="K95" s="16"/>
      <c r="L95" s="16">
        <f>F95*10%</f>
        <v>73.100000000000009</v>
      </c>
      <c r="M95" s="16"/>
      <c r="N95" s="16">
        <v>789.4799999999999</v>
      </c>
    </row>
    <row r="96" spans="1:14" x14ac:dyDescent="0.25">
      <c r="A96" s="43">
        <v>46082</v>
      </c>
      <c r="B96" s="40">
        <v>46023</v>
      </c>
      <c r="C96" s="41">
        <v>46135</v>
      </c>
      <c r="D96" s="42" t="s">
        <v>395</v>
      </c>
      <c r="E96" s="13" t="s">
        <v>380</v>
      </c>
      <c r="F96" s="16">
        <v>2554</v>
      </c>
      <c r="G96" s="16"/>
      <c r="H96" s="16"/>
      <c r="I96" s="16">
        <f>F96*18%</f>
        <v>459.71999999999997</v>
      </c>
      <c r="J96" s="16">
        <f>SUM(F96:I96)</f>
        <v>3013.72</v>
      </c>
      <c r="K96" s="16"/>
      <c r="L96" s="16">
        <f>F96*10%</f>
        <v>255.4</v>
      </c>
      <c r="M96" s="16"/>
      <c r="N96" s="16">
        <v>2759.3199999999997</v>
      </c>
    </row>
    <row r="97" spans="1:14" x14ac:dyDescent="0.25">
      <c r="A97" s="43">
        <v>46112</v>
      </c>
      <c r="B97" s="40">
        <v>46082</v>
      </c>
      <c r="C97" s="41">
        <f>A97+45</f>
        <v>46157</v>
      </c>
      <c r="D97" s="42" t="s">
        <v>395</v>
      </c>
      <c r="E97" s="13" t="s">
        <v>380</v>
      </c>
      <c r="F97" s="16">
        <v>235105</v>
      </c>
      <c r="G97" s="16"/>
      <c r="H97" s="16"/>
      <c r="I97" s="16">
        <f>F97*18%</f>
        <v>42318.9</v>
      </c>
      <c r="J97" s="16">
        <f t="shared" si="40"/>
        <v>277423.90000000002</v>
      </c>
      <c r="K97" s="16"/>
      <c r="L97" s="16">
        <f>F97*10%</f>
        <v>23510.5</v>
      </c>
      <c r="M97" s="16"/>
      <c r="N97" s="16">
        <v>253913.40000000002</v>
      </c>
    </row>
    <row r="98" spans="1:14" x14ac:dyDescent="0.25">
      <c r="A98" s="43">
        <v>46142</v>
      </c>
      <c r="B98" s="40">
        <v>46142</v>
      </c>
      <c r="C98" s="41">
        <f>A98+15</f>
        <v>46157</v>
      </c>
      <c r="D98" s="42" t="s">
        <v>395</v>
      </c>
      <c r="E98" s="13" t="s">
        <v>380</v>
      </c>
      <c r="F98" s="16">
        <f>285105</f>
        <v>285105</v>
      </c>
      <c r="G98" s="16"/>
      <c r="H98" s="16"/>
      <c r="I98" s="16">
        <f t="shared" ref="I98:I99" si="42">F98*18%</f>
        <v>51318.9</v>
      </c>
      <c r="J98" s="16">
        <f t="shared" si="40"/>
        <v>336423.9</v>
      </c>
      <c r="K98" s="16"/>
      <c r="L98" s="16">
        <f t="shared" ref="L98:L99" si="43">F98*10%</f>
        <v>28510.5</v>
      </c>
      <c r="M98" s="16"/>
      <c r="N98" s="16">
        <v>307913.40000000002</v>
      </c>
    </row>
    <row r="99" spans="1:14" x14ac:dyDescent="0.25">
      <c r="A99" s="43">
        <v>46173</v>
      </c>
      <c r="B99" s="40">
        <v>46173</v>
      </c>
      <c r="C99" s="41">
        <f>A99+15</f>
        <v>46188</v>
      </c>
      <c r="D99" s="42" t="s">
        <v>395</v>
      </c>
      <c r="E99" s="13" t="s">
        <v>380</v>
      </c>
      <c r="F99" s="16">
        <f t="shared" ref="F99" si="44">285105</f>
        <v>285105</v>
      </c>
      <c r="G99" s="16"/>
      <c r="H99" s="16"/>
      <c r="I99" s="16">
        <f t="shared" si="42"/>
        <v>51318.9</v>
      </c>
      <c r="J99" s="16">
        <f t="shared" si="40"/>
        <v>336423.9</v>
      </c>
      <c r="K99" s="16"/>
      <c r="L99" s="16">
        <f t="shared" si="43"/>
        <v>28510.5</v>
      </c>
      <c r="M99" s="16"/>
      <c r="N99" s="16">
        <v>307913.40000000002</v>
      </c>
    </row>
    <row r="100" spans="1:14" x14ac:dyDescent="0.25">
      <c r="A100" s="43">
        <v>46142</v>
      </c>
      <c r="B100" s="40">
        <v>46114</v>
      </c>
      <c r="C100" s="41">
        <f>A100+25</f>
        <v>46167</v>
      </c>
      <c r="D100" s="42" t="s">
        <v>362</v>
      </c>
      <c r="E100" s="13" t="s">
        <v>363</v>
      </c>
      <c r="F100" s="16">
        <v>40381</v>
      </c>
      <c r="G100" s="16">
        <f t="shared" ref="G100:G103" si="45">F100*0.09</f>
        <v>3634.29</v>
      </c>
      <c r="H100" s="16">
        <f t="shared" ref="H100:H103" si="46">F100*0.09</f>
        <v>3634.29</v>
      </c>
      <c r="I100" s="16">
        <v>0</v>
      </c>
      <c r="J100" s="16">
        <f t="shared" si="40"/>
        <v>47649.58</v>
      </c>
      <c r="K100" s="16">
        <v>0</v>
      </c>
      <c r="L100" s="16">
        <f t="shared" ref="L100:L101" si="47">F100*0.01</f>
        <v>403.81</v>
      </c>
      <c r="M100" s="16"/>
      <c r="N100" s="16">
        <v>47245.770000000004</v>
      </c>
    </row>
    <row r="101" spans="1:14" x14ac:dyDescent="0.25">
      <c r="A101" s="43">
        <v>46172</v>
      </c>
      <c r="B101" s="40">
        <v>46144</v>
      </c>
      <c r="C101" s="41">
        <f>A101+25</f>
        <v>46197</v>
      </c>
      <c r="D101" s="42" t="s">
        <v>362</v>
      </c>
      <c r="E101" s="13" t="s">
        <v>363</v>
      </c>
      <c r="F101" s="16">
        <v>40381</v>
      </c>
      <c r="G101" s="16">
        <f t="shared" si="45"/>
        <v>3634.29</v>
      </c>
      <c r="H101" s="16">
        <f t="shared" si="46"/>
        <v>3634.29</v>
      </c>
      <c r="I101" s="16">
        <v>0</v>
      </c>
      <c r="J101" s="16">
        <f t="shared" si="40"/>
        <v>47649.58</v>
      </c>
      <c r="K101" s="16">
        <v>0</v>
      </c>
      <c r="L101" s="16">
        <f t="shared" si="47"/>
        <v>403.81</v>
      </c>
      <c r="M101" s="16"/>
      <c r="N101" s="16">
        <v>47245.770000000004</v>
      </c>
    </row>
    <row r="102" spans="1:14" x14ac:dyDescent="0.25">
      <c r="A102" s="43">
        <v>46142</v>
      </c>
      <c r="B102" s="40">
        <v>46114</v>
      </c>
      <c r="C102" s="41">
        <f>A102+25</f>
        <v>46167</v>
      </c>
      <c r="D102" s="42" t="s">
        <v>396</v>
      </c>
      <c r="E102" s="13" t="s">
        <v>397</v>
      </c>
      <c r="F102" s="16">
        <v>3097</v>
      </c>
      <c r="G102" s="16">
        <f t="shared" si="45"/>
        <v>278.72999999999996</v>
      </c>
      <c r="H102" s="16">
        <f t="shared" si="46"/>
        <v>278.72999999999996</v>
      </c>
      <c r="I102" s="16">
        <v>0</v>
      </c>
      <c r="J102" s="16">
        <f t="shared" si="40"/>
        <v>3654.46</v>
      </c>
      <c r="K102" s="16">
        <v>0</v>
      </c>
      <c r="L102" s="16">
        <v>0</v>
      </c>
      <c r="M102" s="16"/>
      <c r="N102" s="16">
        <v>3654.46</v>
      </c>
    </row>
    <row r="103" spans="1:14" x14ac:dyDescent="0.25">
      <c r="A103" s="43">
        <v>46172</v>
      </c>
      <c r="B103" s="40">
        <v>46144</v>
      </c>
      <c r="C103" s="41">
        <f>A103+25</f>
        <v>46197</v>
      </c>
      <c r="D103" s="42" t="s">
        <v>396</v>
      </c>
      <c r="E103" s="13" t="s">
        <v>397</v>
      </c>
      <c r="F103" s="16">
        <v>3097</v>
      </c>
      <c r="G103" s="16">
        <f t="shared" si="45"/>
        <v>278.72999999999996</v>
      </c>
      <c r="H103" s="16">
        <f t="shared" si="46"/>
        <v>278.72999999999996</v>
      </c>
      <c r="I103" s="16">
        <v>0</v>
      </c>
      <c r="J103" s="16">
        <f t="shared" si="40"/>
        <v>3654.46</v>
      </c>
      <c r="K103" s="16">
        <v>0</v>
      </c>
      <c r="L103" s="16">
        <v>0</v>
      </c>
      <c r="M103" s="16"/>
      <c r="N103" s="16">
        <v>3654.46</v>
      </c>
    </row>
    <row r="104" spans="1:14" x14ac:dyDescent="0.25">
      <c r="A104" s="43">
        <v>46143</v>
      </c>
      <c r="B104" s="40">
        <v>46114</v>
      </c>
      <c r="C104" s="41">
        <f>A104+35</f>
        <v>46178</v>
      </c>
      <c r="D104" s="42" t="s">
        <v>398</v>
      </c>
      <c r="E104" s="13" t="s">
        <v>351</v>
      </c>
      <c r="F104" s="16">
        <f>(444134*93.22)*20%</f>
        <v>8280434.2960000001</v>
      </c>
      <c r="G104" s="16"/>
      <c r="H104" s="16"/>
      <c r="I104" s="16">
        <f>F104*18%</f>
        <v>1490478.17328</v>
      </c>
      <c r="J104" s="16">
        <f t="shared" ref="J104" si="48">SUM(F104:I104)</f>
        <v>9770912.4692800008</v>
      </c>
      <c r="K104" s="16"/>
      <c r="L104" s="16">
        <f>F104*10%</f>
        <v>828043.42960000003</v>
      </c>
      <c r="M104" s="16"/>
      <c r="N104" s="16">
        <v>8942869.0396800004</v>
      </c>
    </row>
    <row r="105" spans="1:14" x14ac:dyDescent="0.25">
      <c r="A105" s="43">
        <v>46143</v>
      </c>
      <c r="B105" s="40">
        <v>46220</v>
      </c>
      <c r="C105" s="41">
        <f>A105+35</f>
        <v>46178</v>
      </c>
      <c r="D105" s="42" t="s">
        <v>399</v>
      </c>
      <c r="E105" s="13" t="s">
        <v>351</v>
      </c>
      <c r="F105" s="16">
        <f>(444134*93.22)*20%</f>
        <v>8280434.2960000001</v>
      </c>
      <c r="G105" s="16"/>
      <c r="H105" s="16"/>
      <c r="I105" s="16"/>
      <c r="J105" s="16">
        <f>SUM(F105:I105)</f>
        <v>8280434.2960000001</v>
      </c>
      <c r="K105" s="16"/>
      <c r="L105" s="16"/>
      <c r="M105" s="16"/>
      <c r="N105" s="16">
        <v>8280434.2960000001</v>
      </c>
    </row>
    <row r="106" spans="1:14" x14ac:dyDescent="0.25">
      <c r="A106" s="43">
        <v>46114</v>
      </c>
      <c r="B106" s="40">
        <v>46082</v>
      </c>
      <c r="C106" s="41">
        <v>46135</v>
      </c>
      <c r="D106" s="42" t="s">
        <v>369</v>
      </c>
      <c r="E106" s="13" t="s">
        <v>370</v>
      </c>
      <c r="F106" s="16">
        <f>60033+21399</f>
        <v>81432</v>
      </c>
      <c r="G106" s="16">
        <f>F106*0.09</f>
        <v>7328.88</v>
      </c>
      <c r="H106" s="16">
        <f>F106*0.09</f>
        <v>7328.88</v>
      </c>
      <c r="I106" s="16">
        <v>0</v>
      </c>
      <c r="J106" s="16">
        <f>SUM(F106:I106)</f>
        <v>96089.760000000009</v>
      </c>
      <c r="K106" s="16">
        <f>F106*0.02</f>
        <v>1628.64</v>
      </c>
      <c r="L106" s="16">
        <v>0</v>
      </c>
      <c r="M106" s="16"/>
      <c r="N106" s="16">
        <v>94461.12000000001</v>
      </c>
    </row>
    <row r="107" spans="1:14" x14ac:dyDescent="0.25">
      <c r="A107" s="43">
        <v>46144</v>
      </c>
      <c r="B107" s="40">
        <v>46114</v>
      </c>
      <c r="C107" s="41">
        <f>A107+3</f>
        <v>46147</v>
      </c>
      <c r="D107" s="42" t="s">
        <v>369</v>
      </c>
      <c r="E107" s="13" t="s">
        <v>370</v>
      </c>
      <c r="F107" s="16">
        <f t="shared" ref="F107:F108" si="49">60033+21399</f>
        <v>81432</v>
      </c>
      <c r="G107" s="16">
        <f t="shared" ref="G107:G111" si="50">F107*0.09</f>
        <v>7328.88</v>
      </c>
      <c r="H107" s="16">
        <f t="shared" ref="H107:H111" si="51">F107*0.09</f>
        <v>7328.88</v>
      </c>
      <c r="I107" s="16">
        <v>0</v>
      </c>
      <c r="J107" s="16">
        <f t="shared" ref="J107:J117" si="52">SUM(F107:I107)</f>
        <v>96089.760000000009</v>
      </c>
      <c r="K107" s="16">
        <f t="shared" ref="K107:K108" si="53">F107*0.02</f>
        <v>1628.64</v>
      </c>
      <c r="L107" s="16">
        <v>0</v>
      </c>
      <c r="M107" s="16"/>
      <c r="N107" s="16">
        <v>94461.12000000001</v>
      </c>
    </row>
    <row r="108" spans="1:14" x14ac:dyDescent="0.25">
      <c r="A108" s="43">
        <v>46175</v>
      </c>
      <c r="B108" s="40">
        <v>46144</v>
      </c>
      <c r="C108" s="41">
        <f>A108+3</f>
        <v>46178</v>
      </c>
      <c r="D108" s="42" t="s">
        <v>369</v>
      </c>
      <c r="E108" s="13" t="s">
        <v>370</v>
      </c>
      <c r="F108" s="16">
        <f t="shared" si="49"/>
        <v>81432</v>
      </c>
      <c r="G108" s="16">
        <f t="shared" si="50"/>
        <v>7328.88</v>
      </c>
      <c r="H108" s="16">
        <f t="shared" si="51"/>
        <v>7328.88</v>
      </c>
      <c r="I108" s="16">
        <v>0</v>
      </c>
      <c r="J108" s="16">
        <f t="shared" si="52"/>
        <v>96089.760000000009</v>
      </c>
      <c r="K108" s="16">
        <f t="shared" si="53"/>
        <v>1628.64</v>
      </c>
      <c r="L108" s="16">
        <v>0</v>
      </c>
      <c r="M108" s="16"/>
      <c r="N108" s="16">
        <v>94461.12000000001</v>
      </c>
    </row>
    <row r="109" spans="1:14" x14ac:dyDescent="0.25">
      <c r="A109" s="43">
        <v>46114</v>
      </c>
      <c r="B109" s="40">
        <v>46114</v>
      </c>
      <c r="C109" s="41">
        <f>A109+25</f>
        <v>46139</v>
      </c>
      <c r="D109" s="42" t="s">
        <v>385</v>
      </c>
      <c r="E109" s="13" t="s">
        <v>386</v>
      </c>
      <c r="F109" s="16">
        <v>3500</v>
      </c>
      <c r="G109" s="16">
        <f t="shared" si="50"/>
        <v>315</v>
      </c>
      <c r="H109" s="16">
        <f t="shared" si="51"/>
        <v>315</v>
      </c>
      <c r="I109" s="16">
        <v>0</v>
      </c>
      <c r="J109" s="16">
        <f t="shared" si="52"/>
        <v>4130</v>
      </c>
      <c r="K109" s="16">
        <v>0</v>
      </c>
      <c r="L109" s="16">
        <v>0</v>
      </c>
      <c r="M109" s="16"/>
      <c r="N109" s="16">
        <v>4130</v>
      </c>
    </row>
    <row r="110" spans="1:14" x14ac:dyDescent="0.25">
      <c r="A110" s="43">
        <v>46144</v>
      </c>
      <c r="B110" s="40">
        <v>46144</v>
      </c>
      <c r="C110" s="41">
        <f>A110+25</f>
        <v>46169</v>
      </c>
      <c r="D110" s="42" t="s">
        <v>385</v>
      </c>
      <c r="E110" s="13" t="s">
        <v>386</v>
      </c>
      <c r="F110" s="16">
        <v>3500</v>
      </c>
      <c r="G110" s="16">
        <f t="shared" si="50"/>
        <v>315</v>
      </c>
      <c r="H110" s="16">
        <f t="shared" si="51"/>
        <v>315</v>
      </c>
      <c r="I110" s="16">
        <v>0</v>
      </c>
      <c r="J110" s="16">
        <f t="shared" si="52"/>
        <v>4130</v>
      </c>
      <c r="K110" s="16">
        <v>0</v>
      </c>
      <c r="L110" s="16">
        <v>0</v>
      </c>
      <c r="M110" s="16"/>
      <c r="N110" s="16">
        <v>4130</v>
      </c>
    </row>
    <row r="111" spans="1:14" x14ac:dyDescent="0.25">
      <c r="A111" s="43">
        <v>46175</v>
      </c>
      <c r="B111" s="40">
        <v>46175</v>
      </c>
      <c r="C111" s="41">
        <f>A111+25</f>
        <v>46200</v>
      </c>
      <c r="D111" s="42" t="s">
        <v>385</v>
      </c>
      <c r="E111" s="13" t="s">
        <v>386</v>
      </c>
      <c r="F111" s="16">
        <v>3500</v>
      </c>
      <c r="G111" s="16">
        <f t="shared" si="50"/>
        <v>315</v>
      </c>
      <c r="H111" s="16">
        <f t="shared" si="51"/>
        <v>315</v>
      </c>
      <c r="I111" s="16">
        <v>0</v>
      </c>
      <c r="J111" s="16">
        <f t="shared" si="52"/>
        <v>4130</v>
      </c>
      <c r="K111" s="16">
        <v>0</v>
      </c>
      <c r="L111" s="16">
        <v>0</v>
      </c>
      <c r="M111" s="16"/>
      <c r="N111" s="16">
        <v>4130</v>
      </c>
    </row>
    <row r="112" spans="1:14" x14ac:dyDescent="0.25">
      <c r="A112" s="43">
        <v>46113</v>
      </c>
      <c r="B112" s="40">
        <v>46114</v>
      </c>
      <c r="C112" s="41">
        <f>A112+25</f>
        <v>46138</v>
      </c>
      <c r="D112" s="42" t="s">
        <v>400</v>
      </c>
      <c r="E112" s="13" t="s">
        <v>401</v>
      </c>
      <c r="F112" s="16">
        <v>365000</v>
      </c>
      <c r="G112" s="16">
        <v>0</v>
      </c>
      <c r="H112" s="16">
        <v>0</v>
      </c>
      <c r="I112" s="16">
        <f t="shared" ref="I112:I114" si="54">F112*18%</f>
        <v>65700</v>
      </c>
      <c r="J112" s="16">
        <f t="shared" si="52"/>
        <v>430700</v>
      </c>
      <c r="K112" s="16">
        <v>0</v>
      </c>
      <c r="L112" s="16">
        <f t="shared" ref="L112:L114" si="55">F112*0.1</f>
        <v>36500</v>
      </c>
      <c r="M112" s="16"/>
      <c r="N112" s="16">
        <v>394200</v>
      </c>
    </row>
    <row r="113" spans="1:14" x14ac:dyDescent="0.25">
      <c r="A113" s="43">
        <v>46144</v>
      </c>
      <c r="B113" s="40">
        <v>46144</v>
      </c>
      <c r="C113" s="41">
        <f>A113+7</f>
        <v>46151</v>
      </c>
      <c r="D113" s="42" t="s">
        <v>400</v>
      </c>
      <c r="E113" s="13" t="s">
        <v>401</v>
      </c>
      <c r="F113" s="16">
        <v>375000</v>
      </c>
      <c r="G113" s="16">
        <v>0</v>
      </c>
      <c r="H113" s="16">
        <v>0</v>
      </c>
      <c r="I113" s="16">
        <f t="shared" si="54"/>
        <v>67500</v>
      </c>
      <c r="J113" s="16">
        <f t="shared" si="52"/>
        <v>442500</v>
      </c>
      <c r="K113" s="16">
        <v>0</v>
      </c>
      <c r="L113" s="16">
        <f t="shared" si="55"/>
        <v>37500</v>
      </c>
      <c r="M113" s="16"/>
      <c r="N113" s="16">
        <v>405000</v>
      </c>
    </row>
    <row r="114" spans="1:14" x14ac:dyDescent="0.25">
      <c r="A114" s="43">
        <v>46175</v>
      </c>
      <c r="B114" s="40">
        <v>46175</v>
      </c>
      <c r="C114" s="41">
        <f>A114+7</f>
        <v>46182</v>
      </c>
      <c r="D114" s="42" t="s">
        <v>400</v>
      </c>
      <c r="E114" s="13" t="s">
        <v>401</v>
      </c>
      <c r="F114" s="16">
        <v>375000</v>
      </c>
      <c r="G114" s="16">
        <v>0</v>
      </c>
      <c r="H114" s="16">
        <v>0</v>
      </c>
      <c r="I114" s="16">
        <f t="shared" si="54"/>
        <v>67500</v>
      </c>
      <c r="J114" s="16">
        <f t="shared" si="52"/>
        <v>442500</v>
      </c>
      <c r="K114" s="16">
        <v>0</v>
      </c>
      <c r="L114" s="16">
        <f t="shared" si="55"/>
        <v>37500</v>
      </c>
      <c r="M114" s="16"/>
      <c r="N114" s="16">
        <v>405000</v>
      </c>
    </row>
    <row r="115" spans="1:14" x14ac:dyDescent="0.25">
      <c r="A115" s="43">
        <v>46114</v>
      </c>
      <c r="B115" s="40">
        <v>46114</v>
      </c>
      <c r="C115" s="44">
        <f t="shared" ref="C115" si="56">B115+70</f>
        <v>46184</v>
      </c>
      <c r="D115" s="42" t="s">
        <v>350</v>
      </c>
      <c r="E115" s="13" t="s">
        <v>351</v>
      </c>
      <c r="F115" s="16">
        <v>495000</v>
      </c>
      <c r="G115" s="16"/>
      <c r="H115" s="16"/>
      <c r="I115" s="16">
        <v>0</v>
      </c>
      <c r="J115" s="16">
        <f t="shared" si="52"/>
        <v>495000</v>
      </c>
      <c r="K115" s="16"/>
      <c r="L115" s="16"/>
      <c r="M115" s="16"/>
      <c r="N115" s="16">
        <v>495000</v>
      </c>
    </row>
    <row r="116" spans="1:14" x14ac:dyDescent="0.25">
      <c r="A116" s="43">
        <v>46142</v>
      </c>
      <c r="B116" s="40">
        <v>46448</v>
      </c>
      <c r="C116" s="41">
        <f t="shared" ref="C116:C121" si="57">A116+55</f>
        <v>46197</v>
      </c>
      <c r="D116" s="42" t="s">
        <v>383</v>
      </c>
      <c r="E116" s="13" t="s">
        <v>359</v>
      </c>
      <c r="F116" s="16">
        <v>235276</v>
      </c>
      <c r="G116" s="16">
        <f t="shared" ref="G116:G120" si="58">F116*0.09</f>
        <v>21174.84</v>
      </c>
      <c r="H116" s="16">
        <f t="shared" ref="H116:H120" si="59">F116*0.09</f>
        <v>21174.84</v>
      </c>
      <c r="I116" s="16">
        <v>0</v>
      </c>
      <c r="J116" s="16">
        <f t="shared" si="52"/>
        <v>277625.68</v>
      </c>
      <c r="K116" s="16">
        <f t="shared" ref="K116:K120" si="60">F116*2%</f>
        <v>4705.5200000000004</v>
      </c>
      <c r="L116" s="16">
        <v>0</v>
      </c>
      <c r="M116" s="16"/>
      <c r="N116" s="16">
        <v>272920.15999999997</v>
      </c>
    </row>
    <row r="117" spans="1:14" x14ac:dyDescent="0.25">
      <c r="A117" s="43">
        <v>46142</v>
      </c>
      <c r="B117" s="40">
        <v>46448</v>
      </c>
      <c r="C117" s="41">
        <f t="shared" si="57"/>
        <v>46197</v>
      </c>
      <c r="D117" s="42" t="s">
        <v>384</v>
      </c>
      <c r="E117" s="13" t="s">
        <v>361</v>
      </c>
      <c r="F117" s="16">
        <v>29417</v>
      </c>
      <c r="G117" s="16">
        <f t="shared" si="58"/>
        <v>2647.5299999999997</v>
      </c>
      <c r="H117" s="16">
        <f t="shared" si="59"/>
        <v>2647.5299999999997</v>
      </c>
      <c r="I117" s="16">
        <v>0</v>
      </c>
      <c r="J117" s="16">
        <f t="shared" si="52"/>
        <v>34712.06</v>
      </c>
      <c r="K117" s="16">
        <f t="shared" si="60"/>
        <v>588.34</v>
      </c>
      <c r="L117" s="16">
        <v>0</v>
      </c>
      <c r="M117" s="16"/>
      <c r="N117" s="16">
        <v>34123.72</v>
      </c>
    </row>
    <row r="118" spans="1:14" x14ac:dyDescent="0.25">
      <c r="A118" s="43">
        <v>46081</v>
      </c>
      <c r="B118" s="40">
        <v>46081</v>
      </c>
      <c r="C118" s="41">
        <f t="shared" si="57"/>
        <v>46136</v>
      </c>
      <c r="D118" s="42" t="s">
        <v>402</v>
      </c>
      <c r="E118" s="13" t="s">
        <v>394</v>
      </c>
      <c r="F118" s="16">
        <v>14374</v>
      </c>
      <c r="G118" s="16">
        <f t="shared" si="58"/>
        <v>1293.6599999999999</v>
      </c>
      <c r="H118" s="16">
        <f t="shared" si="59"/>
        <v>1293.6599999999999</v>
      </c>
      <c r="I118" s="16"/>
      <c r="J118" s="16">
        <f t="shared" ref="J118:J123" si="61">SUM(F118:I118)</f>
        <v>16961.32</v>
      </c>
      <c r="K118" s="16">
        <f t="shared" si="60"/>
        <v>287.48</v>
      </c>
      <c r="L118" s="16"/>
      <c r="M118" s="16"/>
      <c r="N118" s="16">
        <v>16673.84</v>
      </c>
    </row>
    <row r="119" spans="1:14" x14ac:dyDescent="0.25">
      <c r="A119" s="43">
        <v>46112</v>
      </c>
      <c r="B119" s="40">
        <v>46448</v>
      </c>
      <c r="C119" s="41">
        <f t="shared" si="57"/>
        <v>46167</v>
      </c>
      <c r="D119" s="42" t="s">
        <v>402</v>
      </c>
      <c r="E119" s="13" t="s">
        <v>394</v>
      </c>
      <c r="F119" s="16">
        <v>14602</v>
      </c>
      <c r="G119" s="16">
        <f t="shared" si="58"/>
        <v>1314.18</v>
      </c>
      <c r="H119" s="16">
        <f t="shared" si="59"/>
        <v>1314.18</v>
      </c>
      <c r="I119" s="16">
        <v>0</v>
      </c>
      <c r="J119" s="16">
        <f t="shared" si="61"/>
        <v>17230.36</v>
      </c>
      <c r="K119" s="16">
        <f t="shared" si="60"/>
        <v>292.04000000000002</v>
      </c>
      <c r="L119" s="16">
        <v>0</v>
      </c>
      <c r="M119" s="16"/>
      <c r="N119" s="16">
        <v>17230.36</v>
      </c>
    </row>
    <row r="120" spans="1:14" x14ac:dyDescent="0.25">
      <c r="A120" s="43">
        <v>46142</v>
      </c>
      <c r="B120" s="40">
        <v>46114</v>
      </c>
      <c r="C120" s="41">
        <f t="shared" si="57"/>
        <v>46197</v>
      </c>
      <c r="D120" s="42" t="s">
        <v>402</v>
      </c>
      <c r="E120" s="13" t="s">
        <v>394</v>
      </c>
      <c r="F120" s="16">
        <v>14374</v>
      </c>
      <c r="G120" s="16">
        <f t="shared" si="58"/>
        <v>1293.6599999999999</v>
      </c>
      <c r="H120" s="16">
        <f t="shared" si="59"/>
        <v>1293.6599999999999</v>
      </c>
      <c r="I120" s="16">
        <v>0</v>
      </c>
      <c r="J120" s="16">
        <f t="shared" si="61"/>
        <v>16961.32</v>
      </c>
      <c r="K120" s="16">
        <f t="shared" si="60"/>
        <v>287.48</v>
      </c>
      <c r="L120" s="16"/>
      <c r="M120" s="16"/>
      <c r="N120" s="16">
        <v>16961.32</v>
      </c>
    </row>
    <row r="121" spans="1:14" x14ac:dyDescent="0.25">
      <c r="A121" s="43">
        <v>46142</v>
      </c>
      <c r="B121" s="40">
        <v>46114</v>
      </c>
      <c r="C121" s="41">
        <f t="shared" si="57"/>
        <v>46197</v>
      </c>
      <c r="D121" s="42" t="s">
        <v>375</v>
      </c>
      <c r="E121" s="13" t="s">
        <v>376</v>
      </c>
      <c r="F121" s="16">
        <v>20118</v>
      </c>
      <c r="G121" s="16">
        <v>0</v>
      </c>
      <c r="H121" s="16">
        <v>0</v>
      </c>
      <c r="I121" s="16">
        <v>0</v>
      </c>
      <c r="J121" s="16">
        <f t="shared" si="61"/>
        <v>20118</v>
      </c>
      <c r="K121" s="16"/>
      <c r="L121" s="16"/>
      <c r="M121" s="16"/>
      <c r="N121" s="16">
        <v>20118</v>
      </c>
    </row>
    <row r="122" spans="1:14" x14ac:dyDescent="0.25">
      <c r="A122" s="43">
        <v>46142</v>
      </c>
      <c r="B122" s="40">
        <v>46114</v>
      </c>
      <c r="C122" s="41">
        <f>A122+25</f>
        <v>46167</v>
      </c>
      <c r="D122" s="42" t="s">
        <v>403</v>
      </c>
      <c r="E122" s="13" t="s">
        <v>404</v>
      </c>
      <c r="F122" s="16">
        <v>39500</v>
      </c>
      <c r="G122" s="16">
        <f t="shared" ref="G122:G123" si="62">F122*0.09</f>
        <v>3555</v>
      </c>
      <c r="H122" s="16">
        <f t="shared" ref="H122:H123" si="63">F122*0.09</f>
        <v>3555</v>
      </c>
      <c r="I122" s="16">
        <v>0</v>
      </c>
      <c r="J122" s="16">
        <f t="shared" si="61"/>
        <v>46610</v>
      </c>
      <c r="K122" s="16">
        <f t="shared" ref="K122:K123" si="64">F122*0.02</f>
        <v>790</v>
      </c>
      <c r="L122" s="16">
        <v>0</v>
      </c>
      <c r="M122" s="16"/>
      <c r="N122" s="16">
        <v>45820</v>
      </c>
    </row>
    <row r="123" spans="1:14" x14ac:dyDescent="0.25">
      <c r="A123" s="43">
        <v>46173</v>
      </c>
      <c r="B123" s="40">
        <v>46144</v>
      </c>
      <c r="C123" s="41">
        <f>A123+25</f>
        <v>46198</v>
      </c>
      <c r="D123" s="42" t="s">
        <v>403</v>
      </c>
      <c r="E123" s="13" t="s">
        <v>404</v>
      </c>
      <c r="F123" s="16">
        <v>39500</v>
      </c>
      <c r="G123" s="16">
        <f t="shared" si="62"/>
        <v>3555</v>
      </c>
      <c r="H123" s="16">
        <f t="shared" si="63"/>
        <v>3555</v>
      </c>
      <c r="I123" s="16">
        <v>0</v>
      </c>
      <c r="J123" s="16">
        <f t="shared" si="61"/>
        <v>46610</v>
      </c>
      <c r="K123" s="16">
        <f t="shared" si="64"/>
        <v>790</v>
      </c>
      <c r="L123" s="16">
        <v>0</v>
      </c>
      <c r="M123" s="16"/>
      <c r="N123" s="16">
        <v>45820</v>
      </c>
    </row>
    <row r="124" spans="1:14" x14ac:dyDescent="0.25">
      <c r="A124" s="43">
        <v>46142</v>
      </c>
      <c r="B124" s="40">
        <v>46114</v>
      </c>
      <c r="C124" s="41">
        <f>A124+25</f>
        <v>46167</v>
      </c>
      <c r="D124" s="42" t="s">
        <v>371</v>
      </c>
      <c r="E124" s="13" t="s">
        <v>372</v>
      </c>
      <c r="F124" s="16">
        <v>8700</v>
      </c>
      <c r="G124" s="16"/>
      <c r="H124" s="16"/>
      <c r="I124" s="16"/>
      <c r="J124" s="16">
        <f t="shared" ref="J124:J125" si="65">F124</f>
        <v>8700</v>
      </c>
      <c r="K124" s="16"/>
      <c r="L124" s="16"/>
      <c r="M124" s="16"/>
      <c r="N124" s="16">
        <v>8700</v>
      </c>
    </row>
    <row r="125" spans="1:14" x14ac:dyDescent="0.25">
      <c r="A125" s="43">
        <v>46173</v>
      </c>
      <c r="B125" s="40">
        <v>46144</v>
      </c>
      <c r="C125" s="41">
        <f>A125+25</f>
        <v>46198</v>
      </c>
      <c r="D125" s="42" t="s">
        <v>371</v>
      </c>
      <c r="E125" s="13" t="s">
        <v>372</v>
      </c>
      <c r="F125" s="16">
        <v>8700</v>
      </c>
      <c r="G125" s="16"/>
      <c r="H125" s="16"/>
      <c r="I125" s="16"/>
      <c r="J125" s="16">
        <f t="shared" si="65"/>
        <v>8700</v>
      </c>
      <c r="K125" s="16"/>
      <c r="L125" s="16"/>
      <c r="M125" s="16"/>
      <c r="N125" s="16">
        <v>8700</v>
      </c>
    </row>
    <row r="126" spans="1:14" x14ac:dyDescent="0.25">
      <c r="A126" s="43">
        <v>46142</v>
      </c>
      <c r="B126" s="40">
        <v>46114</v>
      </c>
      <c r="C126" s="41">
        <f>A126+55</f>
        <v>46197</v>
      </c>
      <c r="D126" s="42" t="s">
        <v>373</v>
      </c>
      <c r="E126" s="13" t="s">
        <v>374</v>
      </c>
      <c r="F126" s="16">
        <f t="shared" ref="F126" si="66">12003+595</f>
        <v>12598</v>
      </c>
      <c r="G126" s="16">
        <f t="shared" ref="G126:H126" si="67">822+62+15</f>
        <v>899</v>
      </c>
      <c r="H126" s="16">
        <f t="shared" si="67"/>
        <v>899</v>
      </c>
      <c r="I126" s="16"/>
      <c r="J126" s="16">
        <f t="shared" ref="J126:J127" si="68">SUM(F126:I126)</f>
        <v>14396</v>
      </c>
      <c r="K126" s="16"/>
      <c r="L126" s="16"/>
      <c r="M126" s="16"/>
      <c r="N126" s="16">
        <v>14396</v>
      </c>
    </row>
    <row r="127" spans="1:14" x14ac:dyDescent="0.25">
      <c r="A127" s="43">
        <v>46142</v>
      </c>
      <c r="B127" s="40">
        <v>46114</v>
      </c>
      <c r="C127" s="41">
        <f>A127+55</f>
        <v>46197</v>
      </c>
      <c r="D127" s="42" t="s">
        <v>379</v>
      </c>
      <c r="E127" s="13" t="s">
        <v>380</v>
      </c>
      <c r="F127" s="16">
        <v>831601</v>
      </c>
      <c r="G127" s="16">
        <v>0</v>
      </c>
      <c r="H127" s="16">
        <v>0</v>
      </c>
      <c r="I127" s="16">
        <f t="shared" ref="I127" si="69">F127*18%</f>
        <v>149688.18</v>
      </c>
      <c r="J127" s="16">
        <f t="shared" si="68"/>
        <v>981289.17999999993</v>
      </c>
      <c r="K127" s="16"/>
      <c r="L127" s="16">
        <f t="shared" ref="L127:L129" si="70">F127*10%</f>
        <v>83160.100000000006</v>
      </c>
      <c r="M127" s="16"/>
      <c r="N127" s="16">
        <v>898129.08</v>
      </c>
    </row>
    <row r="128" spans="1:14" x14ac:dyDescent="0.25">
      <c r="A128" s="43">
        <v>46114</v>
      </c>
      <c r="B128" s="40">
        <v>46114</v>
      </c>
      <c r="C128" s="41">
        <f>A128+30</f>
        <v>46144</v>
      </c>
      <c r="D128" s="42" t="s">
        <v>405</v>
      </c>
      <c r="E128" s="13" t="s">
        <v>406</v>
      </c>
      <c r="F128" s="16">
        <f>381290*1.05</f>
        <v>400354.5</v>
      </c>
      <c r="G128" s="16">
        <f>F128*0.09</f>
        <v>36031.904999999999</v>
      </c>
      <c r="H128" s="16">
        <f>F128*0.09</f>
        <v>36031.904999999999</v>
      </c>
      <c r="I128" s="16">
        <v>0</v>
      </c>
      <c r="J128" s="16">
        <f>SUM(F128:I128)</f>
        <v>472418.31000000006</v>
      </c>
      <c r="L128" s="16">
        <f t="shared" si="70"/>
        <v>40035.450000000004</v>
      </c>
      <c r="M128" s="16"/>
      <c r="N128" s="16">
        <v>432382.86000000004</v>
      </c>
    </row>
    <row r="129" spans="1:14" x14ac:dyDescent="0.25">
      <c r="A129" s="43">
        <v>46144</v>
      </c>
      <c r="B129" s="40">
        <v>46144</v>
      </c>
      <c r="C129" s="41">
        <f>A129+30</f>
        <v>46174</v>
      </c>
      <c r="D129" s="42" t="s">
        <v>405</v>
      </c>
      <c r="E129" s="13" t="s">
        <v>406</v>
      </c>
      <c r="F129" s="16">
        <f t="shared" ref="F129" si="71">381290*1.05</f>
        <v>400354.5</v>
      </c>
      <c r="G129" s="16">
        <f t="shared" ref="G129" si="72">F129*0.09</f>
        <v>36031.904999999999</v>
      </c>
      <c r="H129" s="16">
        <f t="shared" ref="H129" si="73">F129*0.09</f>
        <v>36031.904999999999</v>
      </c>
      <c r="I129" s="16">
        <v>0</v>
      </c>
      <c r="J129" s="16">
        <f t="shared" ref="J129:J137" si="74">SUM(F129:I129)</f>
        <v>472418.31000000006</v>
      </c>
      <c r="L129" s="16">
        <f t="shared" si="70"/>
        <v>40035.450000000004</v>
      </c>
      <c r="M129" s="16"/>
      <c r="N129" s="16">
        <v>432382.86000000004</v>
      </c>
    </row>
    <row r="130" spans="1:14" x14ac:dyDescent="0.25">
      <c r="A130" s="43">
        <v>46142</v>
      </c>
      <c r="B130" s="40">
        <v>46114</v>
      </c>
      <c r="C130" s="41">
        <f>A130+10</f>
        <v>46152</v>
      </c>
      <c r="D130" s="42" t="s">
        <v>377</v>
      </c>
      <c r="E130" s="13" t="s">
        <v>378</v>
      </c>
      <c r="F130" s="16">
        <v>23000</v>
      </c>
      <c r="G130" s="16">
        <v>0</v>
      </c>
      <c r="H130" s="16">
        <v>0</v>
      </c>
      <c r="I130" s="16">
        <v>0</v>
      </c>
      <c r="J130" s="16">
        <f t="shared" si="74"/>
        <v>23000</v>
      </c>
      <c r="K130" s="16">
        <v>0</v>
      </c>
      <c r="L130" s="16">
        <v>0</v>
      </c>
      <c r="M130" s="16"/>
      <c r="N130" s="16">
        <v>23000</v>
      </c>
    </row>
    <row r="131" spans="1:14" x14ac:dyDescent="0.25">
      <c r="A131" s="43">
        <v>46173</v>
      </c>
      <c r="B131" s="40">
        <v>46144</v>
      </c>
      <c r="C131" s="41">
        <f>A131+10</f>
        <v>46183</v>
      </c>
      <c r="D131" s="42" t="s">
        <v>377</v>
      </c>
      <c r="E131" s="13" t="s">
        <v>378</v>
      </c>
      <c r="F131" s="16">
        <v>23000</v>
      </c>
      <c r="G131" s="16">
        <v>0</v>
      </c>
      <c r="H131" s="16">
        <v>0</v>
      </c>
      <c r="I131" s="16">
        <v>0</v>
      </c>
      <c r="J131" s="16">
        <f t="shared" si="74"/>
        <v>23000</v>
      </c>
      <c r="K131" s="16">
        <v>0</v>
      </c>
      <c r="L131" s="16">
        <v>0</v>
      </c>
      <c r="M131" s="16"/>
      <c r="N131" s="16">
        <v>23000</v>
      </c>
    </row>
    <row r="132" spans="1:14" x14ac:dyDescent="0.25">
      <c r="A132" s="43">
        <v>46104</v>
      </c>
      <c r="B132" s="40">
        <v>46106</v>
      </c>
      <c r="C132" s="41">
        <v>46135</v>
      </c>
      <c r="D132" s="36" t="s">
        <v>407</v>
      </c>
      <c r="E132" s="13" t="s">
        <v>408</v>
      </c>
      <c r="F132" s="16">
        <v>55600</v>
      </c>
      <c r="G132" s="16"/>
      <c r="H132" s="16"/>
      <c r="I132" s="16">
        <f t="shared" ref="I132:I134" si="75">F132*18%</f>
        <v>10008</v>
      </c>
      <c r="J132" s="16">
        <f t="shared" si="74"/>
        <v>65608</v>
      </c>
      <c r="K132" s="16"/>
      <c r="L132" s="16">
        <f t="shared" ref="L132:L134" si="76">F132*10%</f>
        <v>5560</v>
      </c>
      <c r="M132" s="16"/>
      <c r="N132" s="16">
        <v>60048</v>
      </c>
    </row>
    <row r="133" spans="1:14" x14ac:dyDescent="0.25">
      <c r="A133" s="43">
        <v>46137</v>
      </c>
      <c r="B133" s="40">
        <v>46137</v>
      </c>
      <c r="C133" s="41">
        <f>A133+15</f>
        <v>46152</v>
      </c>
      <c r="D133" s="36" t="s">
        <v>407</v>
      </c>
      <c r="E133" s="13" t="s">
        <v>408</v>
      </c>
      <c r="F133" s="16">
        <v>59176</v>
      </c>
      <c r="G133" s="16"/>
      <c r="H133" s="16"/>
      <c r="I133" s="16">
        <f t="shared" si="75"/>
        <v>10651.68</v>
      </c>
      <c r="J133" s="16">
        <f t="shared" si="74"/>
        <v>69827.679999999993</v>
      </c>
      <c r="K133" s="16"/>
      <c r="L133" s="16">
        <f t="shared" si="76"/>
        <v>5917.6</v>
      </c>
      <c r="M133" s="16"/>
      <c r="N133" s="16">
        <v>63910.079999999994</v>
      </c>
    </row>
    <row r="134" spans="1:14" x14ac:dyDescent="0.25">
      <c r="A134" s="43">
        <v>46167</v>
      </c>
      <c r="B134" s="40">
        <v>46167</v>
      </c>
      <c r="C134" s="41">
        <f>A134+15</f>
        <v>46182</v>
      </c>
      <c r="D134" s="36" t="s">
        <v>407</v>
      </c>
      <c r="E134" s="13" t="s">
        <v>408</v>
      </c>
      <c r="F134" s="16">
        <v>59176</v>
      </c>
      <c r="G134" s="16"/>
      <c r="H134" s="16"/>
      <c r="I134" s="16">
        <f t="shared" si="75"/>
        <v>10651.68</v>
      </c>
      <c r="J134" s="16">
        <f t="shared" si="74"/>
        <v>69827.679999999993</v>
      </c>
      <c r="K134" s="16"/>
      <c r="L134" s="16">
        <f t="shared" si="76"/>
        <v>5917.6</v>
      </c>
      <c r="M134" s="16"/>
      <c r="N134" s="16">
        <v>63910.079999999994</v>
      </c>
    </row>
    <row r="135" spans="1:14" x14ac:dyDescent="0.25">
      <c r="A135" s="43">
        <v>46106</v>
      </c>
      <c r="B135" s="40">
        <v>46106</v>
      </c>
      <c r="C135" s="41">
        <v>46135</v>
      </c>
      <c r="D135" s="36" t="s">
        <v>409</v>
      </c>
      <c r="E135" s="13" t="s">
        <v>410</v>
      </c>
      <c r="F135" s="16">
        <v>7202</v>
      </c>
      <c r="I135" s="16">
        <v>0</v>
      </c>
      <c r="J135" s="16">
        <f t="shared" si="74"/>
        <v>7202</v>
      </c>
      <c r="L135" s="16">
        <v>0</v>
      </c>
      <c r="M135" s="16"/>
      <c r="N135" s="13">
        <v>7202</v>
      </c>
    </row>
    <row r="136" spans="1:14" x14ac:dyDescent="0.25">
      <c r="A136" s="43">
        <v>46142</v>
      </c>
      <c r="B136" s="40">
        <v>46137</v>
      </c>
      <c r="C136" s="41">
        <f>A136+15</f>
        <v>46157</v>
      </c>
      <c r="D136" s="36" t="s">
        <v>409</v>
      </c>
      <c r="E136" s="13" t="s">
        <v>410</v>
      </c>
      <c r="F136" s="16">
        <v>7202</v>
      </c>
      <c r="I136" s="16">
        <v>0</v>
      </c>
      <c r="J136" s="16">
        <f t="shared" si="74"/>
        <v>7202</v>
      </c>
      <c r="L136" s="16">
        <v>0</v>
      </c>
      <c r="M136" s="16"/>
      <c r="N136" s="13">
        <v>7202</v>
      </c>
    </row>
    <row r="137" spans="1:14" x14ac:dyDescent="0.25">
      <c r="A137" s="43">
        <v>46173</v>
      </c>
      <c r="B137" s="40">
        <v>46167</v>
      </c>
      <c r="C137" s="41">
        <f>A137+15</f>
        <v>46188</v>
      </c>
      <c r="D137" s="36" t="s">
        <v>409</v>
      </c>
      <c r="E137" s="13" t="s">
        <v>410</v>
      </c>
      <c r="F137" s="16">
        <v>7202</v>
      </c>
      <c r="I137" s="16">
        <v>0</v>
      </c>
      <c r="J137" s="16">
        <f t="shared" si="74"/>
        <v>7202</v>
      </c>
      <c r="L137" s="16">
        <v>0</v>
      </c>
      <c r="M137" s="16"/>
      <c r="N137" s="13">
        <v>7202</v>
      </c>
    </row>
    <row r="138" spans="1:14" x14ac:dyDescent="0.25">
      <c r="A138" s="43">
        <v>46116</v>
      </c>
      <c r="B138" s="40">
        <v>46116</v>
      </c>
      <c r="C138" s="41">
        <f>A138+30</f>
        <v>46146</v>
      </c>
      <c r="D138" s="36" t="s">
        <v>411</v>
      </c>
      <c r="E138" s="13" t="s">
        <v>412</v>
      </c>
      <c r="F138" s="16">
        <v>60687</v>
      </c>
      <c r="G138" s="16">
        <f t="shared" ref="G138:G139" si="77">F138*9%</f>
        <v>5461.83</v>
      </c>
      <c r="H138" s="16">
        <f t="shared" ref="H138:H139" si="78">F138*9%</f>
        <v>5461.83</v>
      </c>
      <c r="I138" s="16"/>
      <c r="J138" s="16">
        <f t="shared" ref="J138:J139" si="79">SUM(F138:I138)</f>
        <v>71610.66</v>
      </c>
      <c r="K138" s="16">
        <f t="shared" ref="K138:K139" si="80">F138*0.02</f>
        <v>1213.74</v>
      </c>
      <c r="L138" s="16">
        <v>0</v>
      </c>
      <c r="M138" s="16"/>
      <c r="N138" s="16">
        <v>70396.92</v>
      </c>
    </row>
    <row r="139" spans="1:14" x14ac:dyDescent="0.25">
      <c r="A139" s="43">
        <v>46146</v>
      </c>
      <c r="B139" s="40">
        <v>46146</v>
      </c>
      <c r="C139" s="41">
        <f>A139+30</f>
        <v>46176</v>
      </c>
      <c r="D139" s="36" t="s">
        <v>411</v>
      </c>
      <c r="E139" s="13" t="s">
        <v>412</v>
      </c>
      <c r="F139" s="16">
        <v>60687</v>
      </c>
      <c r="G139" s="16">
        <f t="shared" si="77"/>
        <v>5461.83</v>
      </c>
      <c r="H139" s="16">
        <f t="shared" si="78"/>
        <v>5461.83</v>
      </c>
      <c r="I139" s="16"/>
      <c r="J139" s="16">
        <f t="shared" si="79"/>
        <v>71610.66</v>
      </c>
      <c r="K139" s="16">
        <f t="shared" si="80"/>
        <v>1213.74</v>
      </c>
      <c r="L139" s="16">
        <v>0</v>
      </c>
      <c r="M139" s="16"/>
      <c r="N139" s="16">
        <v>70396.92</v>
      </c>
    </row>
    <row r="140" spans="1:14" x14ac:dyDescent="0.25">
      <c r="A140" s="43">
        <v>46098</v>
      </c>
      <c r="B140" s="40">
        <f>A140</f>
        <v>46098</v>
      </c>
      <c r="C140" s="41">
        <v>46135</v>
      </c>
      <c r="D140" s="42" t="s">
        <v>413</v>
      </c>
      <c r="E140" s="13" t="s">
        <v>414</v>
      </c>
      <c r="F140" s="16">
        <v>2422</v>
      </c>
      <c r="G140" s="16"/>
      <c r="H140" s="16"/>
      <c r="I140" s="16">
        <f>F140*0.18</f>
        <v>435.96</v>
      </c>
      <c r="J140" s="16">
        <f>SUM(F140:I140)</f>
        <v>2857.96</v>
      </c>
      <c r="K140" s="16"/>
      <c r="L140" s="16">
        <f>F140*10%</f>
        <v>242.20000000000002</v>
      </c>
      <c r="M140" s="16"/>
      <c r="N140" s="16">
        <v>2615.7600000000002</v>
      </c>
    </row>
    <row r="141" spans="1:14" x14ac:dyDescent="0.25">
      <c r="A141" s="43">
        <v>46113</v>
      </c>
      <c r="B141" s="40">
        <v>46082</v>
      </c>
      <c r="C141" s="41">
        <f>A141+20</f>
        <v>46133</v>
      </c>
      <c r="D141" s="42" t="s">
        <v>415</v>
      </c>
      <c r="E141" s="13" t="s">
        <v>416</v>
      </c>
      <c r="F141" s="16">
        <v>71800</v>
      </c>
      <c r="G141" s="16"/>
      <c r="H141" s="16"/>
      <c r="I141" s="16">
        <f t="shared" ref="I141:I143" si="81">F141*0.18</f>
        <v>12924</v>
      </c>
      <c r="J141" s="16">
        <f t="shared" ref="J141:J150" si="82">SUM(F141:I141)</f>
        <v>84724</v>
      </c>
      <c r="K141" s="16">
        <f t="shared" ref="K141:K143" si="83">F141*0.02</f>
        <v>1436</v>
      </c>
      <c r="L141" s="16"/>
      <c r="M141" s="16"/>
      <c r="N141" s="16">
        <v>83288</v>
      </c>
    </row>
    <row r="142" spans="1:14" x14ac:dyDescent="0.25">
      <c r="A142" s="43">
        <v>46144</v>
      </c>
      <c r="B142" s="40">
        <v>46113</v>
      </c>
      <c r="C142" s="41">
        <f>A142+20</f>
        <v>46164</v>
      </c>
      <c r="D142" s="42" t="s">
        <v>415</v>
      </c>
      <c r="E142" s="13" t="s">
        <v>416</v>
      </c>
      <c r="F142" s="16">
        <v>70000</v>
      </c>
      <c r="G142" s="16"/>
      <c r="H142" s="16"/>
      <c r="I142" s="16">
        <f t="shared" si="81"/>
        <v>12600</v>
      </c>
      <c r="J142" s="16">
        <f t="shared" si="82"/>
        <v>82600</v>
      </c>
      <c r="K142" s="16">
        <f t="shared" si="83"/>
        <v>1400</v>
      </c>
      <c r="L142" s="16"/>
      <c r="M142" s="16"/>
      <c r="N142" s="16">
        <v>81200</v>
      </c>
    </row>
    <row r="143" spans="1:14" x14ac:dyDescent="0.25">
      <c r="A143" s="43">
        <v>46175</v>
      </c>
      <c r="B143" s="40">
        <v>46143</v>
      </c>
      <c r="C143" s="41">
        <f>A143+20</f>
        <v>46195</v>
      </c>
      <c r="D143" s="42" t="s">
        <v>415</v>
      </c>
      <c r="E143" s="13" t="s">
        <v>416</v>
      </c>
      <c r="F143" s="16">
        <v>70000</v>
      </c>
      <c r="G143" s="16"/>
      <c r="H143" s="16"/>
      <c r="I143" s="16">
        <f t="shared" si="81"/>
        <v>12600</v>
      </c>
      <c r="J143" s="16">
        <f t="shared" si="82"/>
        <v>82600</v>
      </c>
      <c r="K143" s="16">
        <f t="shared" si="83"/>
        <v>1400</v>
      </c>
      <c r="L143" s="16"/>
      <c r="M143" s="16"/>
      <c r="N143" s="16">
        <v>81200</v>
      </c>
    </row>
    <row r="144" spans="1:14" x14ac:dyDescent="0.25">
      <c r="A144" s="43">
        <v>46093</v>
      </c>
      <c r="B144" s="40">
        <f t="shared" ref="B144:B150" si="84">A144</f>
        <v>46093</v>
      </c>
      <c r="C144" s="41">
        <f>A144+45</f>
        <v>46138</v>
      </c>
      <c r="D144" s="36" t="s">
        <v>417</v>
      </c>
      <c r="E144" s="13" t="s">
        <v>418</v>
      </c>
      <c r="F144" s="16">
        <v>15000</v>
      </c>
      <c r="G144" s="16">
        <f t="shared" ref="G144:G150" si="85">F144*0.09</f>
        <v>1350</v>
      </c>
      <c r="H144" s="16">
        <f t="shared" ref="H144:H150" si="86">F144*0.09</f>
        <v>1350</v>
      </c>
      <c r="I144" s="16">
        <v>0</v>
      </c>
      <c r="J144" s="16">
        <f t="shared" si="82"/>
        <v>17700</v>
      </c>
      <c r="K144" s="16"/>
      <c r="L144" s="16">
        <f t="shared" ref="L144:L150" si="87">F144*10%</f>
        <v>1500</v>
      </c>
      <c r="M144" s="16"/>
      <c r="N144" s="16">
        <v>16200</v>
      </c>
    </row>
    <row r="145" spans="1:14" x14ac:dyDescent="0.25">
      <c r="A145" s="43">
        <v>46097</v>
      </c>
      <c r="B145" s="40">
        <f t="shared" si="84"/>
        <v>46097</v>
      </c>
      <c r="C145" s="41">
        <v>46135</v>
      </c>
      <c r="D145" s="36" t="s">
        <v>417</v>
      </c>
      <c r="E145" s="13" t="s">
        <v>418</v>
      </c>
      <c r="F145" s="16">
        <v>50000</v>
      </c>
      <c r="G145" s="16">
        <f t="shared" si="85"/>
        <v>4500</v>
      </c>
      <c r="H145" s="16">
        <f t="shared" si="86"/>
        <v>4500</v>
      </c>
      <c r="I145" s="16">
        <v>0</v>
      </c>
      <c r="J145" s="16">
        <f t="shared" si="82"/>
        <v>59000</v>
      </c>
      <c r="K145" s="16"/>
      <c r="L145" s="16">
        <f t="shared" si="87"/>
        <v>5000</v>
      </c>
      <c r="M145" s="16"/>
      <c r="N145" s="16">
        <v>54000</v>
      </c>
    </row>
    <row r="146" spans="1:14" x14ac:dyDescent="0.25">
      <c r="A146" s="43">
        <v>46093</v>
      </c>
      <c r="B146" s="40">
        <f t="shared" si="84"/>
        <v>46093</v>
      </c>
      <c r="C146" s="41">
        <f>A146+45</f>
        <v>46138</v>
      </c>
      <c r="D146" s="36" t="s">
        <v>417</v>
      </c>
      <c r="E146" s="13" t="s">
        <v>419</v>
      </c>
      <c r="F146" s="13">
        <v>21500</v>
      </c>
      <c r="G146" s="16">
        <f t="shared" si="85"/>
        <v>1935</v>
      </c>
      <c r="H146" s="16">
        <f t="shared" si="86"/>
        <v>1935</v>
      </c>
      <c r="I146" s="16">
        <v>0</v>
      </c>
      <c r="J146" s="16">
        <f t="shared" si="82"/>
        <v>25370</v>
      </c>
      <c r="K146" s="16"/>
      <c r="L146" s="16">
        <f t="shared" si="87"/>
        <v>2150</v>
      </c>
      <c r="M146" s="16"/>
      <c r="N146" s="16">
        <v>23220</v>
      </c>
    </row>
    <row r="147" spans="1:14" x14ac:dyDescent="0.25">
      <c r="A147" s="43">
        <v>46097</v>
      </c>
      <c r="B147" s="40">
        <f t="shared" si="84"/>
        <v>46097</v>
      </c>
      <c r="C147" s="41">
        <v>46135</v>
      </c>
      <c r="D147" s="36" t="s">
        <v>417</v>
      </c>
      <c r="E147" s="13" t="s">
        <v>419</v>
      </c>
      <c r="F147" s="13">
        <v>200000</v>
      </c>
      <c r="G147" s="16">
        <f t="shared" si="85"/>
        <v>18000</v>
      </c>
      <c r="H147" s="16">
        <f t="shared" si="86"/>
        <v>18000</v>
      </c>
      <c r="I147" s="16">
        <v>0</v>
      </c>
      <c r="J147" s="16">
        <f t="shared" si="82"/>
        <v>236000</v>
      </c>
      <c r="K147" s="16"/>
      <c r="L147" s="16">
        <f t="shared" si="87"/>
        <v>20000</v>
      </c>
      <c r="M147" s="16"/>
      <c r="N147" s="16">
        <v>216000</v>
      </c>
    </row>
    <row r="148" spans="1:14" x14ac:dyDescent="0.25">
      <c r="A148" s="43">
        <v>46093</v>
      </c>
      <c r="B148" s="40">
        <f t="shared" si="84"/>
        <v>46093</v>
      </c>
      <c r="C148" s="41">
        <f>A148+45</f>
        <v>46138</v>
      </c>
      <c r="D148" s="36" t="s">
        <v>417</v>
      </c>
      <c r="E148" s="13" t="s">
        <v>420</v>
      </c>
      <c r="F148" s="13">
        <v>36000</v>
      </c>
      <c r="G148" s="16">
        <f t="shared" si="85"/>
        <v>3240</v>
      </c>
      <c r="H148" s="16">
        <f t="shared" si="86"/>
        <v>3240</v>
      </c>
      <c r="I148" s="16">
        <v>0</v>
      </c>
      <c r="J148" s="16">
        <f t="shared" si="82"/>
        <v>42480</v>
      </c>
      <c r="K148" s="16"/>
      <c r="L148" s="16">
        <f t="shared" si="87"/>
        <v>3600</v>
      </c>
      <c r="M148" s="16"/>
      <c r="N148" s="16">
        <v>38880</v>
      </c>
    </row>
    <row r="149" spans="1:14" x14ac:dyDescent="0.25">
      <c r="A149" s="43">
        <v>46097</v>
      </c>
      <c r="B149" s="40">
        <f t="shared" si="84"/>
        <v>46097</v>
      </c>
      <c r="C149" s="41">
        <v>46135</v>
      </c>
      <c r="D149" s="36" t="s">
        <v>417</v>
      </c>
      <c r="E149" s="13" t="s">
        <v>421</v>
      </c>
      <c r="F149" s="13">
        <v>25000</v>
      </c>
      <c r="G149" s="16">
        <f t="shared" si="85"/>
        <v>2250</v>
      </c>
      <c r="H149" s="16">
        <f t="shared" si="86"/>
        <v>2250</v>
      </c>
      <c r="I149" s="16">
        <v>0</v>
      </c>
      <c r="J149" s="16">
        <f t="shared" si="82"/>
        <v>29500</v>
      </c>
      <c r="K149" s="16"/>
      <c r="L149" s="16">
        <f t="shared" si="87"/>
        <v>2500</v>
      </c>
      <c r="M149" s="16"/>
      <c r="N149" s="16">
        <v>27000</v>
      </c>
    </row>
    <row r="150" spans="1:14" x14ac:dyDescent="0.25">
      <c r="A150" s="43">
        <v>46112</v>
      </c>
      <c r="B150" s="40">
        <f t="shared" si="84"/>
        <v>46112</v>
      </c>
      <c r="C150" s="41">
        <f>A150+55</f>
        <v>46167</v>
      </c>
      <c r="D150" s="36" t="s">
        <v>422</v>
      </c>
      <c r="E150" s="13" t="s">
        <v>392</v>
      </c>
      <c r="F150" s="46">
        <v>165000</v>
      </c>
      <c r="G150" s="16">
        <f t="shared" si="85"/>
        <v>14850</v>
      </c>
      <c r="H150" s="16">
        <f t="shared" si="86"/>
        <v>14850</v>
      </c>
      <c r="I150" s="16">
        <v>0</v>
      </c>
      <c r="J150" s="16">
        <f t="shared" si="82"/>
        <v>194700</v>
      </c>
      <c r="K150" s="16">
        <v>0</v>
      </c>
      <c r="L150" s="16">
        <f t="shared" si="87"/>
        <v>16500</v>
      </c>
      <c r="M150" s="16"/>
      <c r="N150" s="16">
        <v>178200</v>
      </c>
    </row>
  </sheetData>
  <autoFilter ref="A2:N150" xr:uid="{B9FAB580-D0C3-4570-8F1E-4838ADF0639D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A642-F298-486C-A68A-736ADBFC6A53}">
  <dimension ref="A1:D46"/>
  <sheetViews>
    <sheetView showGridLines="0" workbookViewId="0">
      <selection sqref="A1:D1"/>
    </sheetView>
  </sheetViews>
  <sheetFormatPr defaultRowHeight="13.8" x14ac:dyDescent="0.25"/>
  <cols>
    <col min="1" max="1" width="9.296875" bestFit="1" customWidth="1"/>
    <col min="2" max="2" width="49.3984375" bestFit="1" customWidth="1"/>
    <col min="3" max="3" width="9.19921875" bestFit="1" customWidth="1"/>
    <col min="4" max="4" width="10.09765625" customWidth="1"/>
  </cols>
  <sheetData>
    <row r="1" spans="1:4" x14ac:dyDescent="0.25">
      <c r="A1" s="18" t="s">
        <v>0</v>
      </c>
      <c r="B1" s="18" t="s">
        <v>68</v>
      </c>
      <c r="C1" s="18" t="s">
        <v>2</v>
      </c>
      <c r="D1" s="18" t="s">
        <v>69</v>
      </c>
    </row>
    <row r="2" spans="1:4" ht="14.4" x14ac:dyDescent="0.3">
      <c r="A2" s="47">
        <v>46142</v>
      </c>
      <c r="B2" s="31" t="s">
        <v>70</v>
      </c>
      <c r="C2" s="48">
        <v>30322</v>
      </c>
      <c r="D2" s="30" t="s">
        <v>71</v>
      </c>
    </row>
    <row r="3" spans="1:4" ht="14.4" x14ac:dyDescent="0.3">
      <c r="A3" s="47">
        <v>46142</v>
      </c>
      <c r="B3" s="31" t="s">
        <v>72</v>
      </c>
      <c r="C3" s="48">
        <v>44323</v>
      </c>
      <c r="D3" s="30" t="s">
        <v>71</v>
      </c>
    </row>
    <row r="4" spans="1:4" ht="14.4" x14ac:dyDescent="0.3">
      <c r="A4" s="47">
        <v>46142</v>
      </c>
      <c r="B4" s="31" t="s">
        <v>73</v>
      </c>
      <c r="C4" s="48">
        <f>745657-450376</f>
        <v>295281</v>
      </c>
      <c r="D4" s="30"/>
    </row>
    <row r="5" spans="1:4" ht="14.4" x14ac:dyDescent="0.3">
      <c r="A5" s="47">
        <v>46173</v>
      </c>
      <c r="B5" s="31" t="s">
        <v>74</v>
      </c>
      <c r="C5" s="49">
        <v>800000</v>
      </c>
      <c r="D5" s="30"/>
    </row>
    <row r="6" spans="1:4" ht="14.4" x14ac:dyDescent="0.3">
      <c r="A6" s="47">
        <v>46142</v>
      </c>
      <c r="B6" s="31" t="s">
        <v>75</v>
      </c>
      <c r="C6" s="49">
        <f>373165</f>
        <v>373165</v>
      </c>
      <c r="D6" s="50" t="s">
        <v>76</v>
      </c>
    </row>
    <row r="7" spans="1:4" ht="14.4" x14ac:dyDescent="0.3">
      <c r="A7" s="47">
        <v>46142</v>
      </c>
      <c r="B7" s="31" t="s">
        <v>77</v>
      </c>
      <c r="C7" s="49">
        <v>18323</v>
      </c>
      <c r="D7" s="30" t="s">
        <v>71</v>
      </c>
    </row>
    <row r="8" spans="1:4" ht="14.4" x14ac:dyDescent="0.3">
      <c r="A8" s="47">
        <v>46142</v>
      </c>
      <c r="B8" s="31" t="s">
        <v>78</v>
      </c>
      <c r="C8" s="49">
        <v>110318</v>
      </c>
      <c r="D8" s="30"/>
    </row>
    <row r="9" spans="1:4" ht="14.4" x14ac:dyDescent="0.3">
      <c r="A9" s="47">
        <v>46142</v>
      </c>
      <c r="B9" s="31" t="s">
        <v>79</v>
      </c>
      <c r="C9" s="49">
        <v>204060</v>
      </c>
      <c r="D9" s="30"/>
    </row>
    <row r="10" spans="1:4" ht="14.4" x14ac:dyDescent="0.3">
      <c r="A10" s="47">
        <v>46142</v>
      </c>
      <c r="B10" s="31" t="s">
        <v>74</v>
      </c>
      <c r="C10" s="49">
        <v>300000</v>
      </c>
      <c r="D10" s="50"/>
    </row>
    <row r="11" spans="1:4" ht="14.4" x14ac:dyDescent="0.3">
      <c r="A11" s="47">
        <v>46203</v>
      </c>
      <c r="B11" s="31" t="s">
        <v>74</v>
      </c>
      <c r="C11" s="49">
        <v>1100000</v>
      </c>
      <c r="D11" s="50"/>
    </row>
    <row r="12" spans="1:4" ht="14.4" x14ac:dyDescent="0.3">
      <c r="A12" s="47">
        <v>46132</v>
      </c>
      <c r="B12" s="51" t="s">
        <v>312</v>
      </c>
      <c r="C12" s="48">
        <v>13200</v>
      </c>
      <c r="D12" s="50" t="s">
        <v>313</v>
      </c>
    </row>
    <row r="13" spans="1:4" ht="14.4" x14ac:dyDescent="0.3">
      <c r="A13" s="47">
        <v>46132</v>
      </c>
      <c r="B13" s="51" t="s">
        <v>314</v>
      </c>
      <c r="C13" s="48">
        <v>2200</v>
      </c>
      <c r="D13" s="50" t="s">
        <v>313</v>
      </c>
    </row>
    <row r="14" spans="1:4" ht="14.4" x14ac:dyDescent="0.3">
      <c r="A14" s="47">
        <v>46132</v>
      </c>
      <c r="B14" s="51" t="s">
        <v>315</v>
      </c>
      <c r="C14" s="48">
        <v>1873920.24</v>
      </c>
      <c r="D14" s="50" t="s">
        <v>313</v>
      </c>
    </row>
    <row r="15" spans="1:4" ht="14.4" x14ac:dyDescent="0.3">
      <c r="A15" s="47">
        <v>46142</v>
      </c>
      <c r="B15" s="51" t="s">
        <v>316</v>
      </c>
      <c r="C15" s="1">
        <v>698443</v>
      </c>
      <c r="D15" s="50" t="s">
        <v>313</v>
      </c>
    </row>
    <row r="16" spans="1:4" ht="14.4" x14ac:dyDescent="0.3">
      <c r="A16" s="47">
        <v>46142</v>
      </c>
      <c r="B16" s="51" t="s">
        <v>317</v>
      </c>
      <c r="C16" s="1">
        <v>183008</v>
      </c>
      <c r="D16" s="50" t="s">
        <v>313</v>
      </c>
    </row>
    <row r="17" spans="1:4" ht="14.4" x14ac:dyDescent="0.3">
      <c r="A17" s="47">
        <v>46142</v>
      </c>
      <c r="B17" s="51" t="s">
        <v>318</v>
      </c>
      <c r="C17" s="1">
        <v>50018</v>
      </c>
      <c r="D17" s="50" t="s">
        <v>313</v>
      </c>
    </row>
    <row r="18" spans="1:4" ht="14.4" x14ac:dyDescent="0.3">
      <c r="A18" s="47">
        <v>46149</v>
      </c>
      <c r="B18" s="51" t="s">
        <v>319</v>
      </c>
      <c r="C18" s="1">
        <v>698443</v>
      </c>
      <c r="D18" s="50" t="s">
        <v>320</v>
      </c>
    </row>
    <row r="19" spans="1:4" ht="14.4" x14ac:dyDescent="0.3">
      <c r="A19" s="47">
        <v>46162</v>
      </c>
      <c r="B19" s="51" t="s">
        <v>321</v>
      </c>
      <c r="C19" s="1">
        <v>11800</v>
      </c>
      <c r="D19" s="30" t="s">
        <v>320</v>
      </c>
    </row>
    <row r="20" spans="1:4" ht="14.4" x14ac:dyDescent="0.3">
      <c r="A20" s="47">
        <v>46157</v>
      </c>
      <c r="B20" s="51" t="s">
        <v>322</v>
      </c>
      <c r="C20" s="1">
        <v>481204</v>
      </c>
      <c r="D20" s="50" t="s">
        <v>320</v>
      </c>
    </row>
    <row r="21" spans="1:4" ht="14.4" x14ac:dyDescent="0.3">
      <c r="A21" s="47">
        <v>46157</v>
      </c>
      <c r="B21" s="51" t="s">
        <v>323</v>
      </c>
      <c r="C21" s="1">
        <v>35604</v>
      </c>
      <c r="D21" s="50" t="s">
        <v>320</v>
      </c>
    </row>
    <row r="22" spans="1:4" ht="14.4" x14ac:dyDescent="0.3">
      <c r="A22" s="47">
        <v>46162</v>
      </c>
      <c r="B22" s="51" t="s">
        <v>324</v>
      </c>
      <c r="C22" s="48">
        <v>2650898.1600000006</v>
      </c>
      <c r="D22" s="50" t="s">
        <v>320</v>
      </c>
    </row>
    <row r="23" spans="1:4" ht="14.4" x14ac:dyDescent="0.3">
      <c r="A23" s="47">
        <v>46180</v>
      </c>
      <c r="B23" s="51" t="s">
        <v>325</v>
      </c>
      <c r="C23" s="1">
        <v>1260280</v>
      </c>
      <c r="D23" s="50" t="s">
        <v>320</v>
      </c>
    </row>
    <row r="24" spans="1:4" ht="14.4" x14ac:dyDescent="0.3">
      <c r="A24" s="47">
        <v>46193</v>
      </c>
      <c r="B24" s="51" t="s">
        <v>326</v>
      </c>
      <c r="C24" s="1">
        <v>11800</v>
      </c>
      <c r="D24" s="30" t="s">
        <v>320</v>
      </c>
    </row>
    <row r="25" spans="1:4" ht="14.4" x14ac:dyDescent="0.3">
      <c r="A25" s="47">
        <v>46188</v>
      </c>
      <c r="B25" s="51" t="s">
        <v>327</v>
      </c>
      <c r="C25" s="1">
        <v>481204</v>
      </c>
      <c r="D25" s="50" t="s">
        <v>320</v>
      </c>
    </row>
    <row r="26" spans="1:4" ht="14.4" x14ac:dyDescent="0.3">
      <c r="A26" s="47">
        <v>46188</v>
      </c>
      <c r="B26" s="51" t="s">
        <v>328</v>
      </c>
      <c r="C26" s="1">
        <v>35604</v>
      </c>
      <c r="D26" s="50" t="s">
        <v>320</v>
      </c>
    </row>
    <row r="27" spans="1:4" ht="14.4" x14ac:dyDescent="0.3">
      <c r="A27" s="47">
        <v>46193</v>
      </c>
      <c r="B27" s="51" t="s">
        <v>329</v>
      </c>
      <c r="C27" s="48">
        <v>3708331.6500000004</v>
      </c>
      <c r="D27" s="50" t="s">
        <v>320</v>
      </c>
    </row>
    <row r="28" spans="1:4" ht="14.4" x14ac:dyDescent="0.3">
      <c r="A28" s="47">
        <v>46142</v>
      </c>
      <c r="B28" s="51" t="s">
        <v>330</v>
      </c>
      <c r="C28" s="1">
        <v>328475</v>
      </c>
      <c r="D28" s="30" t="s">
        <v>313</v>
      </c>
    </row>
    <row r="29" spans="1:4" ht="14.4" x14ac:dyDescent="0.3">
      <c r="A29" s="47">
        <v>46149</v>
      </c>
      <c r="B29" s="51" t="s">
        <v>331</v>
      </c>
      <c r="C29" s="1">
        <v>328475</v>
      </c>
      <c r="D29" s="30" t="s">
        <v>320</v>
      </c>
    </row>
    <row r="30" spans="1:4" ht="14.4" x14ac:dyDescent="0.3">
      <c r="A30" s="47">
        <v>46157</v>
      </c>
      <c r="B30" s="51" t="s">
        <v>332</v>
      </c>
      <c r="C30" s="48">
        <v>1400</v>
      </c>
      <c r="D30" s="50" t="s">
        <v>320</v>
      </c>
    </row>
    <row r="31" spans="1:4" ht="14.4" x14ac:dyDescent="0.3">
      <c r="A31" s="47">
        <v>46157</v>
      </c>
      <c r="B31" s="51" t="s">
        <v>333</v>
      </c>
      <c r="C31" s="48">
        <v>57346</v>
      </c>
      <c r="D31" s="50" t="s">
        <v>320</v>
      </c>
    </row>
    <row r="32" spans="1:4" ht="14.4" x14ac:dyDescent="0.3">
      <c r="A32" s="47">
        <v>46180</v>
      </c>
      <c r="B32" s="51" t="s">
        <v>334</v>
      </c>
      <c r="C32" s="1">
        <v>328475</v>
      </c>
      <c r="D32" s="30" t="s">
        <v>320</v>
      </c>
    </row>
    <row r="33" spans="1:4" ht="14.4" x14ac:dyDescent="0.3">
      <c r="A33" s="47">
        <v>46188</v>
      </c>
      <c r="B33" s="51" t="s">
        <v>335</v>
      </c>
      <c r="C33" s="48">
        <v>57346</v>
      </c>
      <c r="D33" s="50" t="s">
        <v>320</v>
      </c>
    </row>
    <row r="34" spans="1:4" ht="14.4" x14ac:dyDescent="0.3">
      <c r="A34" s="47">
        <v>46188</v>
      </c>
      <c r="B34" s="51" t="s">
        <v>336</v>
      </c>
      <c r="C34" s="48">
        <v>1400</v>
      </c>
      <c r="D34" s="50" t="s">
        <v>320</v>
      </c>
    </row>
    <row r="35" spans="1:4" ht="14.4" x14ac:dyDescent="0.3">
      <c r="A35" s="47">
        <v>46149</v>
      </c>
      <c r="B35" s="51" t="s">
        <v>337</v>
      </c>
      <c r="C35" s="1">
        <v>183008</v>
      </c>
      <c r="D35" s="50" t="s">
        <v>320</v>
      </c>
    </row>
    <row r="36" spans="1:4" ht="14.4" x14ac:dyDescent="0.3">
      <c r="A36" s="47">
        <v>46157</v>
      </c>
      <c r="B36" s="51" t="s">
        <v>338</v>
      </c>
      <c r="C36" s="48">
        <v>6521</v>
      </c>
      <c r="D36" s="50" t="s">
        <v>320</v>
      </c>
    </row>
    <row r="37" spans="1:4" ht="14.4" x14ac:dyDescent="0.3">
      <c r="A37" s="47">
        <v>46157</v>
      </c>
      <c r="B37" s="51" t="s">
        <v>339</v>
      </c>
      <c r="C37" s="48">
        <v>102266</v>
      </c>
      <c r="D37" s="50" t="s">
        <v>320</v>
      </c>
    </row>
    <row r="38" spans="1:4" ht="14.4" x14ac:dyDescent="0.3">
      <c r="A38" s="47">
        <v>46162</v>
      </c>
      <c r="B38" s="51" t="s">
        <v>340</v>
      </c>
      <c r="C38" s="48">
        <v>2200</v>
      </c>
      <c r="D38" s="50" t="s">
        <v>320</v>
      </c>
    </row>
    <row r="39" spans="1:4" ht="14.4" x14ac:dyDescent="0.3">
      <c r="A39" s="47">
        <v>46180</v>
      </c>
      <c r="B39" s="51" t="s">
        <v>341</v>
      </c>
      <c r="C39" s="1">
        <v>183008</v>
      </c>
      <c r="D39" s="50" t="s">
        <v>320</v>
      </c>
    </row>
    <row r="40" spans="1:4" ht="14.4" x14ac:dyDescent="0.3">
      <c r="A40" s="47">
        <v>46193</v>
      </c>
      <c r="B40" s="51" t="s">
        <v>342</v>
      </c>
      <c r="C40" s="48">
        <v>2200</v>
      </c>
      <c r="D40" s="50" t="s">
        <v>320</v>
      </c>
    </row>
    <row r="41" spans="1:4" ht="14.4" x14ac:dyDescent="0.3">
      <c r="A41" s="47">
        <v>46188</v>
      </c>
      <c r="B41" s="51" t="s">
        <v>343</v>
      </c>
      <c r="C41" s="48">
        <v>102266</v>
      </c>
      <c r="D41" s="50" t="s">
        <v>320</v>
      </c>
    </row>
    <row r="42" spans="1:4" ht="14.4" x14ac:dyDescent="0.3">
      <c r="A42" s="47">
        <v>46188</v>
      </c>
      <c r="B42" s="51" t="s">
        <v>344</v>
      </c>
      <c r="C42" s="48">
        <v>6521</v>
      </c>
      <c r="D42" s="50" t="s">
        <v>320</v>
      </c>
    </row>
    <row r="43" spans="1:4" ht="14.4" x14ac:dyDescent="0.3">
      <c r="A43" s="47">
        <v>46149</v>
      </c>
      <c r="B43" s="31" t="s">
        <v>345</v>
      </c>
      <c r="C43" s="1">
        <v>50018</v>
      </c>
      <c r="D43" s="50" t="s">
        <v>320</v>
      </c>
    </row>
    <row r="44" spans="1:4" ht="14.4" x14ac:dyDescent="0.3">
      <c r="A44" s="47">
        <v>46162</v>
      </c>
      <c r="B44" s="31" t="s">
        <v>346</v>
      </c>
      <c r="C44" s="1">
        <v>400</v>
      </c>
      <c r="D44" s="30" t="s">
        <v>320</v>
      </c>
    </row>
    <row r="45" spans="1:4" ht="14.4" x14ac:dyDescent="0.3">
      <c r="A45" s="47">
        <v>46180</v>
      </c>
      <c r="B45" s="31" t="s">
        <v>347</v>
      </c>
      <c r="C45" s="1">
        <v>50018</v>
      </c>
      <c r="D45" s="50" t="s">
        <v>320</v>
      </c>
    </row>
    <row r="46" spans="1:4" ht="14.4" x14ac:dyDescent="0.3">
      <c r="A46" s="47">
        <v>46193</v>
      </c>
      <c r="B46" s="31" t="s">
        <v>348</v>
      </c>
      <c r="C46" s="1">
        <v>400</v>
      </c>
      <c r="D46" s="30" t="s">
        <v>320</v>
      </c>
    </row>
  </sheetData>
  <autoFilter ref="A1:D46" xr:uid="{4236A642-F298-486C-A68A-736ADBFC6A5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48A9-0E62-4963-95AB-A27FCB3DE128}">
  <dimension ref="A1:N8"/>
  <sheetViews>
    <sheetView zoomScale="85" zoomScaleNormal="85" workbookViewId="0"/>
  </sheetViews>
  <sheetFormatPr defaultRowHeight="13.8" x14ac:dyDescent="0.25"/>
  <cols>
    <col min="1" max="1" width="13.5" style="3" bestFit="1" customWidth="1"/>
    <col min="2" max="2" width="10.8984375" style="3" bestFit="1" customWidth="1"/>
    <col min="3" max="3" width="17.19921875" style="3" bestFit="1" customWidth="1"/>
    <col min="4" max="4" width="27.19921875" style="3" bestFit="1" customWidth="1"/>
    <col min="5" max="5" width="20.09765625" style="3" bestFit="1" customWidth="1"/>
    <col min="6" max="6" width="13.5" style="3" bestFit="1" customWidth="1"/>
    <col min="7" max="9" width="8.09765625" style="3" bestFit="1" customWidth="1"/>
    <col min="10" max="10" width="9.69921875" style="3" bestFit="1" customWidth="1"/>
    <col min="11" max="12" width="12.19921875" style="3" bestFit="1" customWidth="1"/>
    <col min="13" max="13" width="13.8984375" style="3" bestFit="1" customWidth="1"/>
    <col min="14" max="14" width="10.8984375" style="3" bestFit="1" customWidth="1"/>
    <col min="15" max="16384" width="8.796875" style="3"/>
  </cols>
  <sheetData>
    <row r="1" spans="1:14" x14ac:dyDescent="0.25">
      <c r="A1" s="18" t="s">
        <v>50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  <c r="K1" s="18" t="s">
        <v>60</v>
      </c>
      <c r="L1" s="18" t="s">
        <v>61</v>
      </c>
      <c r="M1" s="18" t="s">
        <v>62</v>
      </c>
      <c r="N1" s="18" t="s">
        <v>63</v>
      </c>
    </row>
    <row r="2" spans="1:14" x14ac:dyDescent="0.25">
      <c r="A2" s="4">
        <v>46113</v>
      </c>
      <c r="B2" s="5">
        <v>46114</v>
      </c>
      <c r="C2" s="6">
        <v>46138</v>
      </c>
      <c r="D2" s="7" t="s">
        <v>400</v>
      </c>
      <c r="E2" s="8" t="s">
        <v>401</v>
      </c>
      <c r="F2" s="2">
        <v>365000</v>
      </c>
      <c r="G2" s="2">
        <v>0</v>
      </c>
      <c r="H2" s="2">
        <v>0</v>
      </c>
      <c r="I2" s="2">
        <v>65700</v>
      </c>
      <c r="J2" s="2">
        <v>430700</v>
      </c>
      <c r="K2" s="2">
        <v>0</v>
      </c>
      <c r="L2" s="2">
        <v>36500</v>
      </c>
      <c r="M2" s="2"/>
      <c r="N2" s="2">
        <v>394200</v>
      </c>
    </row>
    <row r="3" spans="1:14" x14ac:dyDescent="0.25">
      <c r="A3" s="4">
        <v>46144</v>
      </c>
      <c r="B3" s="5">
        <v>46144</v>
      </c>
      <c r="C3" s="6">
        <v>46151</v>
      </c>
      <c r="D3" s="7" t="s">
        <v>400</v>
      </c>
      <c r="E3" s="8" t="s">
        <v>401</v>
      </c>
      <c r="F3" s="2">
        <v>375000</v>
      </c>
      <c r="G3" s="2">
        <v>0</v>
      </c>
      <c r="H3" s="2">
        <v>0</v>
      </c>
      <c r="I3" s="2">
        <v>67500</v>
      </c>
      <c r="J3" s="2">
        <v>442500</v>
      </c>
      <c r="K3" s="2">
        <v>0</v>
      </c>
      <c r="L3" s="2">
        <v>37500</v>
      </c>
      <c r="M3" s="2"/>
      <c r="N3" s="2">
        <v>405000</v>
      </c>
    </row>
    <row r="4" spans="1:14" x14ac:dyDescent="0.25">
      <c r="A4" s="4">
        <v>46175</v>
      </c>
      <c r="B4" s="5">
        <v>46175</v>
      </c>
      <c r="C4" s="6">
        <v>46182</v>
      </c>
      <c r="D4" s="7" t="s">
        <v>400</v>
      </c>
      <c r="E4" s="8" t="s">
        <v>401</v>
      </c>
      <c r="F4" s="2">
        <v>375000</v>
      </c>
      <c r="G4" s="2">
        <v>0</v>
      </c>
      <c r="H4" s="2">
        <v>0</v>
      </c>
      <c r="I4" s="2">
        <v>67500</v>
      </c>
      <c r="J4" s="2">
        <v>442500</v>
      </c>
      <c r="K4" s="2">
        <v>0</v>
      </c>
      <c r="L4" s="2">
        <v>37500</v>
      </c>
      <c r="M4" s="2"/>
      <c r="N4" s="2">
        <v>405000</v>
      </c>
    </row>
    <row r="5" spans="1:14" x14ac:dyDescent="0.25">
      <c r="A5" s="4">
        <v>46205</v>
      </c>
      <c r="B5" s="5">
        <v>46205</v>
      </c>
      <c r="C5" s="6">
        <v>46212</v>
      </c>
      <c r="D5" s="7" t="s">
        <v>400</v>
      </c>
      <c r="E5" s="8" t="s">
        <v>401</v>
      </c>
      <c r="F5" s="2">
        <v>375000</v>
      </c>
      <c r="G5" s="2">
        <v>0</v>
      </c>
      <c r="H5" s="2">
        <v>0</v>
      </c>
      <c r="I5" s="2">
        <v>67500</v>
      </c>
      <c r="J5" s="2">
        <v>442500</v>
      </c>
      <c r="K5" s="2">
        <v>0</v>
      </c>
      <c r="L5" s="2">
        <v>37500</v>
      </c>
      <c r="M5" s="2"/>
      <c r="N5" s="2">
        <v>405000</v>
      </c>
    </row>
    <row r="6" spans="1:14" x14ac:dyDescent="0.25">
      <c r="A6" s="4">
        <v>46114</v>
      </c>
      <c r="B6" s="5">
        <v>46114</v>
      </c>
      <c r="C6" s="6">
        <v>46144</v>
      </c>
      <c r="D6" s="7" t="s">
        <v>405</v>
      </c>
      <c r="E6" s="8" t="s">
        <v>406</v>
      </c>
      <c r="F6" s="2">
        <v>400354.5</v>
      </c>
      <c r="G6" s="2">
        <v>36031.904999999999</v>
      </c>
      <c r="H6" s="2">
        <v>36031.904999999999</v>
      </c>
      <c r="I6" s="2">
        <v>0</v>
      </c>
      <c r="J6" s="2">
        <v>472418.31000000006</v>
      </c>
      <c r="K6" s="8"/>
      <c r="L6" s="2">
        <v>40035.450000000004</v>
      </c>
      <c r="M6" s="2"/>
      <c r="N6" s="2">
        <v>432382.86000000004</v>
      </c>
    </row>
    <row r="7" spans="1:14" x14ac:dyDescent="0.25">
      <c r="A7" s="4">
        <v>46144</v>
      </c>
      <c r="B7" s="5">
        <v>46144</v>
      </c>
      <c r="C7" s="6">
        <v>46174</v>
      </c>
      <c r="D7" s="7" t="s">
        <v>405</v>
      </c>
      <c r="E7" s="8" t="s">
        <v>406</v>
      </c>
      <c r="F7" s="2">
        <v>400354.5</v>
      </c>
      <c r="G7" s="2">
        <v>36031.904999999999</v>
      </c>
      <c r="H7" s="2">
        <v>36031.904999999999</v>
      </c>
      <c r="I7" s="2">
        <v>0</v>
      </c>
      <c r="J7" s="2">
        <v>472418.31000000006</v>
      </c>
      <c r="K7" s="8"/>
      <c r="L7" s="2">
        <v>40035.450000000004</v>
      </c>
      <c r="M7" s="2"/>
      <c r="N7" s="2">
        <v>432382.86000000004</v>
      </c>
    </row>
    <row r="8" spans="1:14" x14ac:dyDescent="0.25">
      <c r="A8" s="4">
        <v>46175</v>
      </c>
      <c r="B8" s="5">
        <v>46175</v>
      </c>
      <c r="C8" s="6">
        <v>46205</v>
      </c>
      <c r="D8" s="7" t="s">
        <v>405</v>
      </c>
      <c r="E8" s="8" t="s">
        <v>406</v>
      </c>
      <c r="F8" s="2">
        <v>400354.5</v>
      </c>
      <c r="G8" s="2">
        <v>36031.904999999999</v>
      </c>
      <c r="H8" s="2">
        <v>36031.904999999999</v>
      </c>
      <c r="I8" s="2">
        <v>0</v>
      </c>
      <c r="J8" s="2">
        <v>472418.31000000006</v>
      </c>
      <c r="K8" s="8"/>
      <c r="L8" s="2">
        <v>40035.450000000004</v>
      </c>
      <c r="M8" s="2"/>
      <c r="N8" s="2">
        <v>432382.86000000004</v>
      </c>
    </row>
  </sheetData>
  <autoFilter ref="A1:N8" xr:uid="{1A3348A9-0E62-4963-95AB-A27FCB3DE128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EBE8-6CFA-41DA-9C86-52CAF6DD9BB0}">
  <dimension ref="A1:E14"/>
  <sheetViews>
    <sheetView showGridLines="0" workbookViewId="0">
      <selection activeCell="E3" sqref="E3"/>
    </sheetView>
  </sheetViews>
  <sheetFormatPr defaultRowHeight="13.8" x14ac:dyDescent="0.25"/>
  <cols>
    <col min="1" max="1" width="14.3984375" style="9" bestFit="1" customWidth="1"/>
    <col min="2" max="2" width="22.3984375" style="9" bestFit="1" customWidth="1"/>
    <col min="3" max="3" width="18.796875" style="9" bestFit="1" customWidth="1"/>
    <col min="4" max="4" width="9.59765625" style="9" bestFit="1" customWidth="1"/>
    <col min="5" max="5" width="11.69921875" style="9" bestFit="1" customWidth="1"/>
    <col min="6" max="16384" width="8.796875" style="9"/>
  </cols>
  <sheetData>
    <row r="1" spans="1:5" x14ac:dyDescent="0.25">
      <c r="A1" s="18" t="s">
        <v>52</v>
      </c>
      <c r="B1" s="18" t="s">
        <v>68</v>
      </c>
      <c r="C1" s="18" t="s">
        <v>80</v>
      </c>
      <c r="D1" s="18" t="s">
        <v>63</v>
      </c>
      <c r="E1" s="18" t="s">
        <v>81</v>
      </c>
    </row>
    <row r="2" spans="1:5" x14ac:dyDescent="0.25">
      <c r="A2" s="52">
        <v>46133</v>
      </c>
      <c r="B2" s="53" t="s">
        <v>82</v>
      </c>
      <c r="C2" s="53" t="s">
        <v>83</v>
      </c>
      <c r="D2" s="54">
        <v>75000</v>
      </c>
      <c r="E2" s="53"/>
    </row>
    <row r="3" spans="1:5" x14ac:dyDescent="0.25">
      <c r="A3" s="52">
        <v>46163</v>
      </c>
      <c r="B3" s="53" t="s">
        <v>82</v>
      </c>
      <c r="C3" s="53" t="s">
        <v>83</v>
      </c>
      <c r="D3" s="54">
        <v>75000</v>
      </c>
      <c r="E3" s="53"/>
    </row>
    <row r="4" spans="1:5" x14ac:dyDescent="0.25">
      <c r="A4" s="52">
        <v>46194</v>
      </c>
      <c r="B4" s="53" t="s">
        <v>82</v>
      </c>
      <c r="C4" s="53" t="s">
        <v>83</v>
      </c>
      <c r="D4" s="54">
        <v>75000</v>
      </c>
      <c r="E4" s="53"/>
    </row>
    <row r="5" spans="1:5" x14ac:dyDescent="0.25">
      <c r="A5" s="52">
        <v>46224</v>
      </c>
      <c r="B5" s="53" t="s">
        <v>82</v>
      </c>
      <c r="C5" s="53" t="s">
        <v>83</v>
      </c>
      <c r="D5" s="54">
        <v>75000</v>
      </c>
      <c r="E5" s="53"/>
    </row>
    <row r="6" spans="1:5" x14ac:dyDescent="0.25">
      <c r="A6" s="52">
        <v>46255</v>
      </c>
      <c r="B6" s="53" t="s">
        <v>82</v>
      </c>
      <c r="C6" s="53" t="s">
        <v>83</v>
      </c>
      <c r="D6" s="54">
        <v>75000</v>
      </c>
      <c r="E6" s="53"/>
    </row>
    <row r="7" spans="1:5" x14ac:dyDescent="0.25">
      <c r="A7" s="52">
        <v>46286</v>
      </c>
      <c r="B7" s="53" t="s">
        <v>82</v>
      </c>
      <c r="C7" s="53" t="s">
        <v>83</v>
      </c>
      <c r="D7" s="54">
        <v>75000</v>
      </c>
      <c r="E7" s="53"/>
    </row>
    <row r="8" spans="1:5" x14ac:dyDescent="0.25">
      <c r="A8" s="52">
        <v>46316</v>
      </c>
      <c r="B8" s="53" t="s">
        <v>82</v>
      </c>
      <c r="C8" s="53" t="s">
        <v>83</v>
      </c>
      <c r="D8" s="54">
        <v>75000</v>
      </c>
      <c r="E8" s="53"/>
    </row>
    <row r="9" spans="1:5" x14ac:dyDescent="0.25">
      <c r="A9" s="52">
        <v>46347</v>
      </c>
      <c r="B9" s="53" t="s">
        <v>82</v>
      </c>
      <c r="C9" s="53" t="s">
        <v>83</v>
      </c>
      <c r="D9" s="54">
        <v>75000</v>
      </c>
      <c r="E9" s="53"/>
    </row>
    <row r="10" spans="1:5" x14ac:dyDescent="0.25">
      <c r="A10" s="52">
        <v>46377</v>
      </c>
      <c r="B10" s="53" t="s">
        <v>82</v>
      </c>
      <c r="C10" s="53" t="s">
        <v>83</v>
      </c>
      <c r="D10" s="54">
        <v>75000</v>
      </c>
      <c r="E10" s="53"/>
    </row>
    <row r="11" spans="1:5" x14ac:dyDescent="0.25">
      <c r="A11" s="52">
        <v>46408</v>
      </c>
      <c r="B11" s="53" t="s">
        <v>82</v>
      </c>
      <c r="C11" s="53" t="s">
        <v>83</v>
      </c>
      <c r="D11" s="54">
        <v>75000</v>
      </c>
      <c r="E11" s="53"/>
    </row>
    <row r="12" spans="1:5" x14ac:dyDescent="0.25">
      <c r="A12" s="52">
        <v>46439</v>
      </c>
      <c r="B12" s="53" t="s">
        <v>82</v>
      </c>
      <c r="C12" s="53" t="s">
        <v>83</v>
      </c>
      <c r="D12" s="54">
        <v>75000</v>
      </c>
      <c r="E12" s="53"/>
    </row>
    <row r="13" spans="1:5" x14ac:dyDescent="0.25">
      <c r="A13" s="52">
        <v>46467</v>
      </c>
      <c r="B13" s="53" t="s">
        <v>82</v>
      </c>
      <c r="C13" s="53" t="s">
        <v>83</v>
      </c>
      <c r="D13" s="54">
        <v>75000</v>
      </c>
      <c r="E13" s="53"/>
    </row>
    <row r="14" spans="1:5" x14ac:dyDescent="0.25">
      <c r="A14" s="52">
        <v>46498</v>
      </c>
      <c r="B14" s="53" t="s">
        <v>82</v>
      </c>
      <c r="C14" s="53" t="s">
        <v>83</v>
      </c>
      <c r="D14" s="54">
        <v>75000</v>
      </c>
      <c r="E14" s="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Receivables</vt:lpstr>
      <vt:lpstr>Employee Salaries</vt:lpstr>
      <vt:lpstr>Mcom Salaries</vt:lpstr>
      <vt:lpstr> Vendor Payment</vt:lpstr>
      <vt:lpstr>Statutory Dues</vt:lpstr>
      <vt:lpstr> Fixed Expenses</vt:lpstr>
      <vt:lpstr>Reimbursments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</dc:creator>
  <cp:lastModifiedBy>Abhijith</cp:lastModifiedBy>
  <dcterms:created xsi:type="dcterms:W3CDTF">2026-04-17T06:41:36Z</dcterms:created>
  <dcterms:modified xsi:type="dcterms:W3CDTF">2026-06-08T10:43:29Z</dcterms:modified>
</cp:coreProperties>
</file>